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drawings/drawing3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929" codeName="{1AED2BDD-1FA3-CEF2-32D4-FBADEFEB71E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kouho\Documents\GitHub\solar-energy-management-\BWSC2019-EneMane\Main\"/>
    </mc:Choice>
  </mc:AlternateContent>
  <xr:revisionPtr revIDLastSave="0" documentId="13_ncr:1_{15C3ADE4-A81A-4152-A80B-5807DBDBB004}" xr6:coauthVersionLast="44" xr6:coauthVersionMax="44" xr10:uidLastSave="{00000000-0000-0000-0000-000000000000}"/>
  <bookViews>
    <workbookView xWindow="-110" yWindow="-110" windowWidth="19420" windowHeight="10420" firstSheet="1" activeTab="6" xr2:uid="{D2C017E4-2C76-496C-97A1-D4251CCB4195}"/>
  </bookViews>
  <sheets>
    <sheet name="Main_Day1" sheetId="1" r:id="rId1"/>
    <sheet name="Main_Day2" sheetId="3" r:id="rId2"/>
    <sheet name="Main_Day3" sheetId="5" r:id="rId3"/>
    <sheet name="Main_Day4" sheetId="6" r:id="rId4"/>
    <sheet name="Main_Day5" sheetId="7" r:id="rId5"/>
    <sheet name="Main_Day1_2" sheetId="2" r:id="rId6"/>
    <sheet name="Main_All" sheetId="4" r:id="rId7"/>
  </sheets>
  <definedNames>
    <definedName name="_xlnm._FilterDatabase" localSheetId="5" hidden="1">Main_Day1_2!$A$5:$G$181</definedName>
    <definedName name="_xlnm.Criteria" localSheetId="5">Main_Day1_2!$F$2:$H$3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D9" i="7" l="1"/>
  <c r="D10" i="7"/>
  <c r="D11" i="7"/>
  <c r="D12" i="7"/>
  <c r="D13" i="7"/>
  <c r="D14" i="7"/>
  <c r="D15" i="7"/>
  <c r="D16" i="7"/>
  <c r="D17" i="7"/>
  <c r="D18" i="7"/>
  <c r="D19" i="7"/>
  <c r="D20" i="7"/>
  <c r="D21" i="7"/>
  <c r="D22" i="7"/>
  <c r="D23" i="7"/>
  <c r="D24" i="7"/>
  <c r="D25" i="7"/>
  <c r="D26" i="7"/>
  <c r="D27" i="7"/>
  <c r="D28" i="7"/>
  <c r="D29" i="7"/>
  <c r="D30" i="7"/>
  <c r="D31" i="7"/>
  <c r="D32" i="7"/>
  <c r="D33" i="7"/>
  <c r="D34" i="7"/>
  <c r="D35" i="7"/>
  <c r="D36" i="7"/>
  <c r="D37" i="7"/>
  <c r="D38" i="7"/>
  <c r="D39" i="7"/>
  <c r="D40" i="7"/>
  <c r="D41" i="7"/>
  <c r="D42" i="7"/>
  <c r="D43" i="7"/>
  <c r="D44" i="7"/>
  <c r="D45" i="7"/>
  <c r="D46" i="7"/>
  <c r="D47" i="7"/>
  <c r="D48" i="7"/>
  <c r="D49" i="7"/>
  <c r="D50" i="7"/>
  <c r="D51" i="7"/>
  <c r="D52" i="7"/>
  <c r="D53" i="7"/>
  <c r="D54" i="7"/>
  <c r="D55" i="7"/>
  <c r="D56" i="7"/>
  <c r="D57" i="7"/>
  <c r="D58" i="7"/>
  <c r="D59" i="7"/>
  <c r="D60" i="7"/>
  <c r="D61" i="7"/>
  <c r="D62" i="7"/>
  <c r="D63" i="7"/>
  <c r="D64" i="7"/>
  <c r="D65" i="7"/>
  <c r="D66" i="7"/>
  <c r="D67" i="7"/>
  <c r="D68" i="7"/>
  <c r="D69" i="7"/>
  <c r="D70" i="7"/>
  <c r="D71" i="7"/>
  <c r="D72" i="7"/>
  <c r="D73" i="7"/>
  <c r="D74" i="7"/>
  <c r="D75" i="7"/>
  <c r="D76" i="7"/>
  <c r="D77" i="7"/>
  <c r="D78" i="7"/>
  <c r="D7" i="7"/>
  <c r="D8" i="7"/>
  <c r="D6" i="7"/>
  <c r="H3" i="7"/>
  <c r="E78" i="7"/>
  <c r="E77" i="7"/>
  <c r="E76" i="7"/>
  <c r="E75" i="7"/>
  <c r="E74" i="7"/>
  <c r="E73" i="7"/>
  <c r="E72" i="7"/>
  <c r="E71" i="7"/>
  <c r="E70" i="7"/>
  <c r="E69" i="7"/>
  <c r="E68" i="7"/>
  <c r="E67" i="7"/>
  <c r="E66" i="7"/>
  <c r="E65" i="7"/>
  <c r="E64" i="7"/>
  <c r="E63" i="7"/>
  <c r="E62" i="7"/>
  <c r="E61" i="7"/>
  <c r="E60" i="7"/>
  <c r="E59" i="7"/>
  <c r="E58" i="7"/>
  <c r="E57" i="7"/>
  <c r="E56" i="7"/>
  <c r="E55" i="7"/>
  <c r="E54" i="7"/>
  <c r="E53" i="7"/>
  <c r="E52" i="7"/>
  <c r="E51" i="7"/>
  <c r="E50" i="7"/>
  <c r="E49" i="7"/>
  <c r="E48" i="7"/>
  <c r="E47" i="7"/>
  <c r="E46" i="7"/>
  <c r="E45" i="7"/>
  <c r="E44" i="7"/>
  <c r="E43" i="7"/>
  <c r="E42" i="7"/>
  <c r="E41" i="7"/>
  <c r="E40" i="7"/>
  <c r="E39" i="7"/>
  <c r="E38" i="7"/>
  <c r="E37" i="7"/>
  <c r="E36" i="7"/>
  <c r="E35" i="7"/>
  <c r="E34" i="7"/>
  <c r="E33" i="7"/>
  <c r="E32" i="7"/>
  <c r="E31" i="7"/>
  <c r="E30" i="7"/>
  <c r="E29" i="7"/>
  <c r="E28" i="7"/>
  <c r="E27" i="7"/>
  <c r="E26" i="7"/>
  <c r="E25" i="7"/>
  <c r="E24" i="7"/>
  <c r="E23" i="7"/>
  <c r="E22" i="7"/>
  <c r="E21" i="7"/>
  <c r="E20" i="7"/>
  <c r="E19" i="7"/>
  <c r="E18" i="7"/>
  <c r="E17" i="7"/>
  <c r="E16" i="7"/>
  <c r="E15" i="7"/>
  <c r="E14" i="7"/>
  <c r="E13" i="7"/>
  <c r="E12" i="7"/>
  <c r="E11" i="7"/>
  <c r="E10" i="7"/>
  <c r="E9" i="7"/>
  <c r="E8" i="7"/>
  <c r="E7" i="7"/>
  <c r="E6" i="7"/>
  <c r="C9" i="6"/>
  <c r="C10" i="6"/>
  <c r="C11" i="6"/>
  <c r="C12" i="6"/>
  <c r="C13" i="6"/>
  <c r="C14" i="6"/>
  <c r="C15" i="6"/>
  <c r="C16" i="6"/>
  <c r="C17" i="6"/>
  <c r="C18" i="6"/>
  <c r="C19" i="6"/>
  <c r="C20" i="6"/>
  <c r="C21" i="6"/>
  <c r="C22" i="6"/>
  <c r="C23" i="6"/>
  <c r="C24" i="6"/>
  <c r="C25" i="6"/>
  <c r="C26" i="6"/>
  <c r="C27" i="6"/>
  <c r="C28" i="6"/>
  <c r="C29" i="6"/>
  <c r="C30" i="6"/>
  <c r="C31" i="6"/>
  <c r="C32" i="6"/>
  <c r="C33" i="6"/>
  <c r="C34" i="6"/>
  <c r="C35" i="6"/>
  <c r="C36" i="6"/>
  <c r="C37" i="6"/>
  <c r="C38" i="6"/>
  <c r="C39" i="6"/>
  <c r="C40" i="6"/>
  <c r="C41" i="6"/>
  <c r="C42" i="6"/>
  <c r="C43" i="6"/>
  <c r="C44" i="6"/>
  <c r="C45" i="6"/>
  <c r="C46" i="6"/>
  <c r="C47" i="6"/>
  <c r="C48" i="6"/>
  <c r="C49" i="6"/>
  <c r="C50" i="6"/>
  <c r="C51" i="6"/>
  <c r="C52" i="6"/>
  <c r="C53" i="6"/>
  <c r="C54" i="6"/>
  <c r="C55" i="6"/>
  <c r="C56" i="6"/>
  <c r="C57" i="6"/>
  <c r="C58" i="6"/>
  <c r="C59" i="6"/>
  <c r="C60" i="6"/>
  <c r="C61" i="6"/>
  <c r="C62" i="6"/>
  <c r="C63" i="6"/>
  <c r="C64" i="6"/>
  <c r="C65" i="6"/>
  <c r="C66" i="6"/>
  <c r="C67" i="6"/>
  <c r="C68" i="6"/>
  <c r="C69" i="6"/>
  <c r="C70" i="6"/>
  <c r="C71" i="6"/>
  <c r="C72" i="6"/>
  <c r="C73" i="6"/>
  <c r="C74" i="6"/>
  <c r="C75" i="6"/>
  <c r="C76" i="6"/>
  <c r="C77" i="6"/>
  <c r="C78" i="6"/>
  <c r="C8" i="6"/>
  <c r="C7" i="6"/>
  <c r="C6" i="6"/>
  <c r="D11" i="6"/>
  <c r="D12" i="6"/>
  <c r="D13" i="6"/>
  <c r="D14" i="6"/>
  <c r="D15" i="6"/>
  <c r="D16" i="6"/>
  <c r="D17" i="6"/>
  <c r="D18" i="6"/>
  <c r="D19" i="6"/>
  <c r="D20" i="6"/>
  <c r="D21" i="6"/>
  <c r="D22" i="6"/>
  <c r="D23" i="6"/>
  <c r="D24" i="6"/>
  <c r="D25" i="6"/>
  <c r="D26" i="6"/>
  <c r="D27" i="6"/>
  <c r="D28" i="6"/>
  <c r="D29" i="6"/>
  <c r="D30" i="6"/>
  <c r="D31" i="6"/>
  <c r="D32" i="6"/>
  <c r="D33" i="6"/>
  <c r="D34" i="6"/>
  <c r="D35" i="6"/>
  <c r="D36" i="6"/>
  <c r="D37" i="6"/>
  <c r="D38" i="6"/>
  <c r="D39" i="6"/>
  <c r="D40" i="6"/>
  <c r="D41" i="6"/>
  <c r="D42" i="6"/>
  <c r="D43" i="6"/>
  <c r="D44" i="6"/>
  <c r="D45" i="6"/>
  <c r="D46" i="6"/>
  <c r="D47" i="6"/>
  <c r="D48" i="6"/>
  <c r="D49" i="6"/>
  <c r="D50" i="6"/>
  <c r="D51" i="6"/>
  <c r="D52" i="6"/>
  <c r="D53" i="6"/>
  <c r="D54" i="6"/>
  <c r="D55" i="6"/>
  <c r="D56" i="6"/>
  <c r="D57" i="6"/>
  <c r="D58" i="6"/>
  <c r="D59" i="6"/>
  <c r="D60" i="6"/>
  <c r="D61" i="6"/>
  <c r="D62" i="6"/>
  <c r="D63" i="6"/>
  <c r="D64" i="6"/>
  <c r="D65" i="6"/>
  <c r="D66" i="6"/>
  <c r="D67" i="6"/>
  <c r="D68" i="6"/>
  <c r="D69" i="6"/>
  <c r="D70" i="6"/>
  <c r="D71" i="6"/>
  <c r="D72" i="6"/>
  <c r="D73" i="6"/>
  <c r="D74" i="6"/>
  <c r="D75" i="6"/>
  <c r="D76" i="6"/>
  <c r="D77" i="6"/>
  <c r="D78" i="6"/>
  <c r="D9" i="6"/>
  <c r="D7" i="6"/>
  <c r="D8" i="6"/>
  <c r="D10" i="6"/>
  <c r="D6" i="6"/>
  <c r="H3" i="6"/>
  <c r="E78" i="6"/>
  <c r="E77" i="6"/>
  <c r="E76" i="6"/>
  <c r="E75" i="6"/>
  <c r="E74" i="6"/>
  <c r="E73" i="6"/>
  <c r="E72" i="6"/>
  <c r="E71" i="6"/>
  <c r="E70" i="6"/>
  <c r="E69" i="6"/>
  <c r="E68" i="6"/>
  <c r="E67" i="6"/>
  <c r="E66" i="6"/>
  <c r="E65" i="6"/>
  <c r="E64" i="6"/>
  <c r="E63" i="6"/>
  <c r="E62" i="6"/>
  <c r="E61" i="6"/>
  <c r="E60" i="6"/>
  <c r="E59" i="6"/>
  <c r="E58" i="6"/>
  <c r="E57" i="6"/>
  <c r="E56" i="6"/>
  <c r="E55" i="6"/>
  <c r="E54" i="6"/>
  <c r="E53" i="6"/>
  <c r="E52" i="6"/>
  <c r="E51" i="6"/>
  <c r="E50" i="6"/>
  <c r="E49" i="6"/>
  <c r="E48" i="6"/>
  <c r="E47" i="6"/>
  <c r="E46" i="6"/>
  <c r="E45" i="6"/>
  <c r="E44" i="6"/>
  <c r="E43" i="6"/>
  <c r="E42" i="6"/>
  <c r="E41" i="6"/>
  <c r="E40" i="6"/>
  <c r="E39" i="6"/>
  <c r="E38" i="6"/>
  <c r="E37" i="6"/>
  <c r="E36" i="6"/>
  <c r="E35" i="6"/>
  <c r="E34" i="6"/>
  <c r="E33" i="6"/>
  <c r="E32" i="6"/>
  <c r="E31" i="6"/>
  <c r="E30" i="6"/>
  <c r="E29" i="6"/>
  <c r="E28" i="6"/>
  <c r="E27" i="6"/>
  <c r="E26" i="6"/>
  <c r="E25" i="6"/>
  <c r="E24" i="6"/>
  <c r="E23" i="6"/>
  <c r="E22" i="6"/>
  <c r="E21" i="6"/>
  <c r="E20" i="6"/>
  <c r="E19" i="6"/>
  <c r="E18" i="6"/>
  <c r="E17" i="6"/>
  <c r="E16" i="6"/>
  <c r="E15" i="6"/>
  <c r="E14" i="6"/>
  <c r="E13" i="6"/>
  <c r="E12" i="6"/>
  <c r="E11" i="6"/>
  <c r="E10" i="6"/>
  <c r="E9" i="6"/>
  <c r="E8" i="6"/>
  <c r="E7" i="6"/>
  <c r="E6" i="6"/>
  <c r="H3" i="5"/>
  <c r="D13" i="5" s="1"/>
  <c r="C13" i="5" s="1"/>
  <c r="D11" i="5"/>
  <c r="C11" i="5" s="1"/>
  <c r="D25" i="5"/>
  <c r="C25" i="5" s="1"/>
  <c r="D37" i="5"/>
  <c r="C37" i="5" s="1"/>
  <c r="D50" i="5"/>
  <c r="C50" i="5" s="1"/>
  <c r="D63" i="5"/>
  <c r="C63" i="5" s="1"/>
  <c r="D75" i="5"/>
  <c r="C75" i="5" s="1"/>
  <c r="E78" i="5"/>
  <c r="E77" i="5"/>
  <c r="E76" i="5"/>
  <c r="E75" i="5"/>
  <c r="E74" i="5"/>
  <c r="E73" i="5"/>
  <c r="E72" i="5"/>
  <c r="E71" i="5"/>
  <c r="E70" i="5"/>
  <c r="E69" i="5"/>
  <c r="E68" i="5"/>
  <c r="E67" i="5"/>
  <c r="E66" i="5"/>
  <c r="E65" i="5"/>
  <c r="E64" i="5"/>
  <c r="E63" i="5"/>
  <c r="E62" i="5"/>
  <c r="E61" i="5"/>
  <c r="E60" i="5"/>
  <c r="E59" i="5"/>
  <c r="E58" i="5"/>
  <c r="E57" i="5"/>
  <c r="E56" i="5"/>
  <c r="E55" i="5"/>
  <c r="E54" i="5"/>
  <c r="E53" i="5"/>
  <c r="E52" i="5"/>
  <c r="E51" i="5"/>
  <c r="E50" i="5"/>
  <c r="E49" i="5"/>
  <c r="E48" i="5"/>
  <c r="E47" i="5"/>
  <c r="E46" i="5"/>
  <c r="E45" i="5"/>
  <c r="E44" i="5"/>
  <c r="E43" i="5"/>
  <c r="E42" i="5"/>
  <c r="E41" i="5"/>
  <c r="E40" i="5"/>
  <c r="E39" i="5"/>
  <c r="E38" i="5"/>
  <c r="E37" i="5"/>
  <c r="E36" i="5"/>
  <c r="E35" i="5"/>
  <c r="E34" i="5"/>
  <c r="E33" i="5"/>
  <c r="E32" i="5"/>
  <c r="E31" i="5"/>
  <c r="E30" i="5"/>
  <c r="E29" i="5"/>
  <c r="E28" i="5"/>
  <c r="E27" i="5"/>
  <c r="E26" i="5"/>
  <c r="E25" i="5"/>
  <c r="E24" i="5"/>
  <c r="E23" i="5"/>
  <c r="E22" i="5"/>
  <c r="E21" i="5"/>
  <c r="E20" i="5"/>
  <c r="E19" i="5"/>
  <c r="E18" i="5"/>
  <c r="E17" i="5"/>
  <c r="E16" i="5"/>
  <c r="E15" i="5"/>
  <c r="E14" i="5"/>
  <c r="E13" i="5"/>
  <c r="E12" i="5"/>
  <c r="E11" i="5"/>
  <c r="E10" i="5"/>
  <c r="E9" i="5"/>
  <c r="E8" i="5"/>
  <c r="E7" i="5"/>
  <c r="E6" i="5"/>
  <c r="D74" i="5" l="1"/>
  <c r="C74" i="5" s="1"/>
  <c r="D61" i="5"/>
  <c r="C61" i="5" s="1"/>
  <c r="D49" i="5"/>
  <c r="C49" i="5" s="1"/>
  <c r="D35" i="5"/>
  <c r="C35" i="5" s="1"/>
  <c r="D12" i="5"/>
  <c r="C12" i="5" s="1"/>
  <c r="D73" i="5"/>
  <c r="C73" i="5" s="1"/>
  <c r="D59" i="5"/>
  <c r="C59" i="5" s="1"/>
  <c r="D47" i="5"/>
  <c r="C47" i="5" s="1"/>
  <c r="D34" i="5"/>
  <c r="C34" i="5" s="1"/>
  <c r="D21" i="5"/>
  <c r="C21" i="5" s="1"/>
  <c r="D6" i="5"/>
  <c r="C6" i="5" s="1"/>
  <c r="D71" i="5"/>
  <c r="C71" i="5" s="1"/>
  <c r="D58" i="5"/>
  <c r="C58" i="5" s="1"/>
  <c r="D45" i="5"/>
  <c r="C45" i="5" s="1"/>
  <c r="D33" i="5"/>
  <c r="C33" i="5" s="1"/>
  <c r="D19" i="5"/>
  <c r="C19" i="5" s="1"/>
  <c r="D23" i="5"/>
  <c r="C23" i="5" s="1"/>
  <c r="D10" i="5"/>
  <c r="C10" i="5" s="1"/>
  <c r="D69" i="5"/>
  <c r="C69" i="5" s="1"/>
  <c r="D57" i="5"/>
  <c r="C57" i="5" s="1"/>
  <c r="D43" i="5"/>
  <c r="C43" i="5" s="1"/>
  <c r="D31" i="5"/>
  <c r="C31" i="5" s="1"/>
  <c r="D18" i="5"/>
  <c r="C18" i="5" s="1"/>
  <c r="D17" i="5"/>
  <c r="C17" i="5" s="1"/>
  <c r="D9" i="5"/>
  <c r="C9" i="5" s="1"/>
  <c r="D67" i="5"/>
  <c r="C67" i="5" s="1"/>
  <c r="D55" i="5"/>
  <c r="C55" i="5" s="1"/>
  <c r="D42" i="5"/>
  <c r="C42" i="5" s="1"/>
  <c r="D29" i="5"/>
  <c r="C29" i="5" s="1"/>
  <c r="D8" i="5"/>
  <c r="C8" i="5" s="1"/>
  <c r="D66" i="5"/>
  <c r="C66" i="5" s="1"/>
  <c r="D53" i="5"/>
  <c r="C53" i="5" s="1"/>
  <c r="D41" i="5"/>
  <c r="C41" i="5" s="1"/>
  <c r="D27" i="5"/>
  <c r="C27" i="5" s="1"/>
  <c r="D15" i="5"/>
  <c r="C15" i="5" s="1"/>
  <c r="D77" i="5"/>
  <c r="C77" i="5" s="1"/>
  <c r="D65" i="5"/>
  <c r="C65" i="5" s="1"/>
  <c r="D51" i="5"/>
  <c r="C51" i="5" s="1"/>
  <c r="D39" i="5"/>
  <c r="C39" i="5" s="1"/>
  <c r="D26" i="5"/>
  <c r="C26" i="5" s="1"/>
  <c r="D7" i="5"/>
  <c r="C7" i="5" s="1"/>
  <c r="D72" i="5"/>
  <c r="C72" i="5" s="1"/>
  <c r="D64" i="5"/>
  <c r="C64" i="5" s="1"/>
  <c r="D56" i="5"/>
  <c r="C56" i="5" s="1"/>
  <c r="D48" i="5"/>
  <c r="C48" i="5" s="1"/>
  <c r="D40" i="5"/>
  <c r="C40" i="5" s="1"/>
  <c r="D32" i="5"/>
  <c r="C32" i="5" s="1"/>
  <c r="D24" i="5"/>
  <c r="C24" i="5" s="1"/>
  <c r="D16" i="5"/>
  <c r="C16" i="5" s="1"/>
  <c r="D78" i="5"/>
  <c r="C78" i="5" s="1"/>
  <c r="D70" i="5"/>
  <c r="C70" i="5" s="1"/>
  <c r="D62" i="5"/>
  <c r="C62" i="5" s="1"/>
  <c r="D54" i="5"/>
  <c r="C54" i="5" s="1"/>
  <c r="D46" i="5"/>
  <c r="C46" i="5" s="1"/>
  <c r="D38" i="5"/>
  <c r="C38" i="5" s="1"/>
  <c r="D30" i="5"/>
  <c r="C30" i="5" s="1"/>
  <c r="D22" i="5"/>
  <c r="C22" i="5" s="1"/>
  <c r="D14" i="5"/>
  <c r="C14" i="5" s="1"/>
  <c r="D76" i="5"/>
  <c r="C76" i="5" s="1"/>
  <c r="D68" i="5"/>
  <c r="C68" i="5" s="1"/>
  <c r="D60" i="5"/>
  <c r="C60" i="5" s="1"/>
  <c r="D52" i="5"/>
  <c r="C52" i="5" s="1"/>
  <c r="D44" i="5"/>
  <c r="C44" i="5" s="1"/>
  <c r="D36" i="5"/>
  <c r="C36" i="5" s="1"/>
  <c r="D28" i="5"/>
  <c r="C28" i="5" s="1"/>
  <c r="D20" i="5"/>
  <c r="C20" i="5" s="1"/>
  <c r="D6" i="1" l="1"/>
  <c r="L11" i="2"/>
  <c r="L12" i="2"/>
  <c r="L13" i="2"/>
  <c r="L14" i="2"/>
  <c r="L15" i="2"/>
  <c r="L16" i="2"/>
  <c r="L17" i="2"/>
  <c r="L18" i="2"/>
  <c r="L19" i="2"/>
  <c r="L20" i="2"/>
  <c r="L21" i="2"/>
  <c r="L22" i="2"/>
  <c r="L23" i="2"/>
  <c r="L24" i="2"/>
  <c r="L25" i="2"/>
  <c r="L26" i="2"/>
  <c r="L27" i="2"/>
  <c r="L28" i="2"/>
  <c r="L29" i="2"/>
  <c r="L30" i="2"/>
  <c r="L31" i="2"/>
  <c r="L32" i="2"/>
  <c r="L33" i="2"/>
  <c r="L34" i="2"/>
  <c r="L35" i="2"/>
  <c r="L36" i="2"/>
  <c r="L37" i="2"/>
  <c r="L38" i="2"/>
  <c r="L39" i="2"/>
  <c r="L40" i="2"/>
  <c r="L41" i="2"/>
  <c r="L42" i="2"/>
  <c r="L43" i="2"/>
  <c r="L44" i="2"/>
  <c r="L45" i="2"/>
  <c r="L46" i="2"/>
  <c r="L47" i="2"/>
  <c r="L48" i="2"/>
  <c r="L49" i="2"/>
  <c r="L50" i="2"/>
  <c r="L51" i="2"/>
  <c r="L52" i="2"/>
  <c r="L53" i="2"/>
  <c r="L54" i="2"/>
  <c r="L55" i="2"/>
  <c r="L56" i="2"/>
  <c r="L57" i="2"/>
  <c r="L58" i="2"/>
  <c r="L59" i="2"/>
  <c r="L60" i="2"/>
  <c r="L61" i="2"/>
  <c r="L62" i="2"/>
  <c r="L63" i="2"/>
  <c r="L64" i="2"/>
  <c r="L65" i="2"/>
  <c r="L66" i="2"/>
  <c r="L67" i="2"/>
  <c r="L68" i="2"/>
  <c r="L69" i="2"/>
  <c r="L70" i="2"/>
  <c r="L71" i="2"/>
  <c r="L72" i="2"/>
  <c r="L73" i="2"/>
  <c r="L74" i="2"/>
  <c r="L75" i="2"/>
  <c r="L76" i="2"/>
  <c r="L77" i="2"/>
  <c r="L78" i="2"/>
  <c r="L79" i="2"/>
  <c r="L80" i="2"/>
  <c r="L81" i="2"/>
  <c r="L82" i="2"/>
  <c r="L83" i="2"/>
  <c r="L84" i="2"/>
  <c r="L85" i="2"/>
  <c r="L86" i="2"/>
  <c r="L87" i="2"/>
  <c r="L88" i="2"/>
  <c r="L89" i="2"/>
  <c r="L90" i="2"/>
  <c r="L91" i="2"/>
  <c r="L92" i="2"/>
  <c r="L93" i="2"/>
  <c r="L94" i="2"/>
  <c r="L95" i="2"/>
  <c r="L96" i="2"/>
  <c r="L97" i="2"/>
  <c r="L98" i="2"/>
  <c r="L99" i="2"/>
  <c r="L100" i="2"/>
  <c r="L101" i="2"/>
  <c r="L102" i="2"/>
  <c r="L103" i="2"/>
  <c r="L104" i="2"/>
  <c r="L105" i="2"/>
  <c r="L106" i="2"/>
  <c r="L107" i="2"/>
  <c r="L108" i="2"/>
  <c r="L109" i="2"/>
  <c r="L110" i="2"/>
  <c r="L111" i="2"/>
  <c r="L112" i="2"/>
  <c r="L113" i="2"/>
  <c r="L114" i="2"/>
  <c r="L115" i="2"/>
  <c r="L116" i="2"/>
  <c r="L117" i="2"/>
  <c r="L118" i="2"/>
  <c r="L119" i="2"/>
  <c r="L120" i="2"/>
  <c r="L121" i="2"/>
  <c r="L122" i="2"/>
  <c r="L123" i="2"/>
  <c r="L124" i="2"/>
  <c r="L125" i="2"/>
  <c r="L126" i="2"/>
  <c r="L127" i="2"/>
  <c r="L128" i="2"/>
  <c r="L129" i="2"/>
  <c r="L130" i="2"/>
  <c r="L131" i="2"/>
  <c r="L132" i="2"/>
  <c r="L133" i="2"/>
  <c r="L134" i="2"/>
  <c r="L135" i="2"/>
  <c r="L136" i="2"/>
  <c r="L137" i="2"/>
  <c r="L138" i="2"/>
  <c r="L139" i="2"/>
  <c r="L140" i="2"/>
  <c r="L141" i="2"/>
  <c r="L142" i="2"/>
  <c r="L143" i="2"/>
  <c r="L144" i="2"/>
  <c r="L145" i="2"/>
  <c r="L146" i="2"/>
  <c r="L147" i="2"/>
  <c r="L148" i="2"/>
  <c r="L149" i="2"/>
  <c r="L150" i="2"/>
  <c r="L151" i="2"/>
  <c r="L152" i="2"/>
  <c r="L153" i="2"/>
  <c r="L154" i="2"/>
  <c r="L155" i="2"/>
  <c r="L156" i="2"/>
  <c r="L157" i="2"/>
  <c r="L7" i="2"/>
  <c r="L8" i="2"/>
  <c r="L9" i="2"/>
  <c r="L10" i="2"/>
  <c r="L6" i="2"/>
  <c r="E78" i="1" l="1"/>
  <c r="E77" i="1"/>
  <c r="E76" i="1"/>
  <c r="E75" i="1"/>
  <c r="E74" i="1"/>
  <c r="E73" i="1"/>
  <c r="E72" i="1"/>
  <c r="E71" i="1"/>
  <c r="E70" i="1"/>
  <c r="E69" i="1"/>
  <c r="E68" i="1"/>
  <c r="E67" i="1"/>
  <c r="E66" i="1"/>
  <c r="E65" i="1"/>
  <c r="E64" i="1"/>
  <c r="E63" i="1"/>
  <c r="E62" i="1"/>
  <c r="E61" i="1"/>
  <c r="E60" i="1"/>
  <c r="E59" i="1"/>
  <c r="E58" i="1"/>
  <c r="E57" i="1"/>
  <c r="E56" i="1"/>
  <c r="E55" i="1"/>
  <c r="E54" i="1"/>
  <c r="E53" i="1"/>
  <c r="E52" i="1"/>
  <c r="E51" i="1"/>
  <c r="E50" i="1"/>
  <c r="E49" i="1"/>
  <c r="E48" i="1"/>
  <c r="E47" i="1"/>
  <c r="E46" i="1"/>
  <c r="E45" i="1"/>
  <c r="E44" i="1"/>
  <c r="E43" i="1"/>
  <c r="E42" i="1"/>
  <c r="E41" i="1"/>
  <c r="E40" i="1"/>
  <c r="E39" i="1"/>
  <c r="E38" i="1"/>
  <c r="E37" i="1"/>
  <c r="E36" i="1"/>
  <c r="E35" i="1"/>
  <c r="E34" i="1"/>
  <c r="E33" i="1"/>
  <c r="E32" i="1"/>
  <c r="E31" i="1"/>
  <c r="E30" i="1"/>
  <c r="E29" i="1"/>
  <c r="E28" i="1"/>
  <c r="E27" i="1"/>
  <c r="E26" i="1"/>
  <c r="E25" i="1"/>
  <c r="E24" i="1"/>
  <c r="E23" i="1"/>
  <c r="E22" i="1"/>
  <c r="E21" i="1"/>
  <c r="E20" i="1"/>
  <c r="E19" i="1"/>
  <c r="E18" i="1"/>
  <c r="E17" i="1"/>
  <c r="E16" i="1"/>
  <c r="E15" i="1"/>
  <c r="E14" i="1"/>
  <c r="E13" i="1"/>
  <c r="E12" i="1"/>
  <c r="E11" i="1"/>
  <c r="E10" i="1"/>
  <c r="E9" i="1"/>
  <c r="E8" i="1"/>
  <c r="E7" i="1"/>
  <c r="E6" i="1"/>
  <c r="E78" i="3" l="1"/>
  <c r="E77" i="3"/>
  <c r="E76" i="3"/>
  <c r="E75" i="3"/>
  <c r="E74" i="3"/>
  <c r="E73" i="3"/>
  <c r="E72" i="3"/>
  <c r="E71" i="3"/>
  <c r="E70" i="3"/>
  <c r="E69" i="3"/>
  <c r="E68" i="3"/>
  <c r="E67" i="3"/>
  <c r="E66" i="3"/>
  <c r="E65" i="3"/>
  <c r="E64" i="3"/>
  <c r="E63" i="3"/>
  <c r="E62" i="3"/>
  <c r="E61" i="3"/>
  <c r="E60" i="3"/>
  <c r="E59" i="3"/>
  <c r="E58" i="3"/>
  <c r="E57" i="3"/>
  <c r="E56" i="3"/>
  <c r="E55" i="3"/>
  <c r="E54" i="3"/>
  <c r="E53" i="3"/>
  <c r="E52" i="3"/>
  <c r="E51" i="3"/>
  <c r="E50" i="3"/>
  <c r="E49" i="3"/>
  <c r="E48" i="3"/>
  <c r="E47" i="3"/>
  <c r="E46" i="3"/>
  <c r="E45" i="3"/>
  <c r="E44" i="3"/>
  <c r="E43" i="3"/>
  <c r="E42" i="3"/>
  <c r="E41" i="3"/>
  <c r="E40" i="3"/>
  <c r="E39" i="3"/>
  <c r="E38" i="3"/>
  <c r="E37" i="3"/>
  <c r="E36" i="3"/>
  <c r="E35" i="3"/>
  <c r="E34" i="3"/>
  <c r="E33" i="3"/>
  <c r="E32" i="3"/>
  <c r="E31" i="3"/>
  <c r="E30" i="3"/>
  <c r="E29" i="3"/>
  <c r="E28" i="3"/>
  <c r="E27" i="3"/>
  <c r="E26" i="3"/>
  <c r="E25" i="3"/>
  <c r="E24" i="3"/>
  <c r="E23" i="3"/>
  <c r="E22" i="3"/>
  <c r="E21" i="3"/>
  <c r="E20" i="3"/>
  <c r="E19" i="3"/>
  <c r="E18" i="3"/>
  <c r="E17" i="3"/>
  <c r="E16" i="3"/>
  <c r="E15" i="3"/>
  <c r="E14" i="3"/>
  <c r="E13" i="3"/>
  <c r="E12" i="3"/>
  <c r="E11" i="3"/>
  <c r="E10" i="3"/>
  <c r="E9" i="3"/>
  <c r="E8" i="3"/>
  <c r="E7" i="3"/>
  <c r="E6" i="3"/>
  <c r="N78" i="1"/>
  <c r="M78" i="1"/>
  <c r="L78" i="1"/>
  <c r="J78" i="1"/>
  <c r="D78" i="1"/>
  <c r="C78" i="1" s="1"/>
  <c r="K78" i="1" s="1"/>
  <c r="N77" i="1"/>
  <c r="M77" i="1"/>
  <c r="L77" i="1"/>
  <c r="J77" i="1"/>
  <c r="D77" i="1"/>
  <c r="C77" i="1" s="1"/>
  <c r="K77" i="1" s="1"/>
  <c r="N76" i="1"/>
  <c r="M76" i="1"/>
  <c r="L76" i="1"/>
  <c r="J76" i="1"/>
  <c r="D76" i="1"/>
  <c r="C76" i="1"/>
  <c r="K76" i="1" s="1"/>
  <c r="N75" i="1"/>
  <c r="M75" i="1"/>
  <c r="L75" i="1"/>
  <c r="J75" i="1"/>
  <c r="D75" i="1"/>
  <c r="C75" i="1" s="1"/>
  <c r="K75" i="1" s="1"/>
  <c r="N74" i="1"/>
  <c r="M74" i="1"/>
  <c r="L74" i="1"/>
  <c r="J74" i="1"/>
  <c r="D74" i="1"/>
  <c r="C74" i="1" s="1"/>
  <c r="K74" i="1" s="1"/>
  <c r="N73" i="1"/>
  <c r="M73" i="1"/>
  <c r="L73" i="1"/>
  <c r="J73" i="1"/>
  <c r="D73" i="1"/>
  <c r="C73" i="1" s="1"/>
  <c r="K73" i="1" s="1"/>
  <c r="N72" i="1"/>
  <c r="M72" i="1"/>
  <c r="L72" i="1"/>
  <c r="J72" i="1"/>
  <c r="D72" i="1"/>
  <c r="C72" i="1"/>
  <c r="K72" i="1" s="1"/>
  <c r="N71" i="1"/>
  <c r="M71" i="1"/>
  <c r="L71" i="1"/>
  <c r="J71" i="1"/>
  <c r="D71" i="1"/>
  <c r="C71" i="1" s="1"/>
  <c r="K71" i="1" s="1"/>
  <c r="N70" i="1"/>
  <c r="M70" i="1"/>
  <c r="L70" i="1"/>
  <c r="J70" i="1"/>
  <c r="D70" i="1"/>
  <c r="C70" i="1" s="1"/>
  <c r="K70" i="1" s="1"/>
  <c r="N69" i="1"/>
  <c r="M69" i="1"/>
  <c r="L69" i="1"/>
  <c r="J69" i="1"/>
  <c r="D69" i="1"/>
  <c r="C69" i="1" s="1"/>
  <c r="K69" i="1" s="1"/>
  <c r="N68" i="1"/>
  <c r="M68" i="1"/>
  <c r="L68" i="1"/>
  <c r="J68" i="1"/>
  <c r="D68" i="1"/>
  <c r="C68" i="1" s="1"/>
  <c r="K68" i="1" s="1"/>
  <c r="N67" i="1"/>
  <c r="M67" i="1"/>
  <c r="L67" i="1"/>
  <c r="J67" i="1"/>
  <c r="D67" i="1"/>
  <c r="C67" i="1" s="1"/>
  <c r="K67" i="1" s="1"/>
  <c r="N66" i="1"/>
  <c r="M66" i="1"/>
  <c r="L66" i="1"/>
  <c r="J66" i="1"/>
  <c r="D66" i="1"/>
  <c r="C66" i="1" s="1"/>
  <c r="K66" i="1" s="1"/>
  <c r="N65" i="1"/>
  <c r="M65" i="1"/>
  <c r="L65" i="1"/>
  <c r="J65" i="1"/>
  <c r="D65" i="1"/>
  <c r="C65" i="1"/>
  <c r="K65" i="1" s="1"/>
  <c r="N64" i="1"/>
  <c r="M64" i="1"/>
  <c r="L64" i="1"/>
  <c r="J64" i="1"/>
  <c r="D64" i="1"/>
  <c r="C64" i="1" s="1"/>
  <c r="K64" i="1" s="1"/>
  <c r="N63" i="1"/>
  <c r="M63" i="1"/>
  <c r="L63" i="1"/>
  <c r="J63" i="1"/>
  <c r="D63" i="1"/>
  <c r="C63" i="1" s="1"/>
  <c r="K63" i="1" s="1"/>
  <c r="N62" i="1"/>
  <c r="M62" i="1"/>
  <c r="L62" i="1"/>
  <c r="J62" i="1"/>
  <c r="D62" i="1"/>
  <c r="C62" i="1" s="1"/>
  <c r="K62" i="1" s="1"/>
  <c r="N61" i="1"/>
  <c r="M61" i="1"/>
  <c r="L61" i="1"/>
  <c r="J61" i="1"/>
  <c r="D61" i="1"/>
  <c r="C61" i="1" s="1"/>
  <c r="K61" i="1" s="1"/>
  <c r="N60" i="1"/>
  <c r="M60" i="1"/>
  <c r="L60" i="1"/>
  <c r="J60" i="1"/>
  <c r="D60" i="1"/>
  <c r="C60" i="1" s="1"/>
  <c r="K60" i="1" s="1"/>
  <c r="N59" i="1"/>
  <c r="M59" i="1"/>
  <c r="L59" i="1"/>
  <c r="J59" i="1"/>
  <c r="D59" i="1"/>
  <c r="C59" i="1" s="1"/>
  <c r="K59" i="1" s="1"/>
  <c r="N58" i="1"/>
  <c r="M58" i="1"/>
  <c r="L58" i="1"/>
  <c r="J58" i="1"/>
  <c r="D58" i="1"/>
  <c r="C58" i="1" s="1"/>
  <c r="K58" i="1" s="1"/>
  <c r="N57" i="1"/>
  <c r="M57" i="1"/>
  <c r="L57" i="1"/>
  <c r="J57" i="1"/>
  <c r="D57" i="1"/>
  <c r="C57" i="1" s="1"/>
  <c r="K57" i="1" s="1"/>
  <c r="N56" i="1"/>
  <c r="M56" i="1"/>
  <c r="L56" i="1"/>
  <c r="J56" i="1"/>
  <c r="D56" i="1"/>
  <c r="C56" i="1"/>
  <c r="K56" i="1" s="1"/>
  <c r="N55" i="1"/>
  <c r="M55" i="1"/>
  <c r="L55" i="1"/>
  <c r="J55" i="1"/>
  <c r="D55" i="1"/>
  <c r="C55" i="1" s="1"/>
  <c r="K55" i="1" s="1"/>
  <c r="N54" i="1"/>
  <c r="M54" i="1"/>
  <c r="L54" i="1"/>
  <c r="J54" i="1"/>
  <c r="D54" i="1"/>
  <c r="C54" i="1" s="1"/>
  <c r="K54" i="1" s="1"/>
  <c r="N53" i="1"/>
  <c r="M53" i="1"/>
  <c r="L53" i="1"/>
  <c r="J53" i="1"/>
  <c r="D53" i="1"/>
  <c r="C53" i="1" s="1"/>
  <c r="K53" i="1" s="1"/>
  <c r="N52" i="1"/>
  <c r="M52" i="1"/>
  <c r="L52" i="1"/>
  <c r="J52" i="1"/>
  <c r="D52" i="1"/>
  <c r="C52" i="1" s="1"/>
  <c r="K52" i="1" s="1"/>
  <c r="N51" i="1"/>
  <c r="M51" i="1"/>
  <c r="L51" i="1"/>
  <c r="J51" i="1"/>
  <c r="D51" i="1"/>
  <c r="C51" i="1"/>
  <c r="K51" i="1" s="1"/>
  <c r="N50" i="1"/>
  <c r="M50" i="1"/>
  <c r="L50" i="1"/>
  <c r="J50" i="1"/>
  <c r="D50" i="1"/>
  <c r="C50" i="1" s="1"/>
  <c r="K50" i="1" s="1"/>
  <c r="N49" i="1"/>
  <c r="M49" i="1"/>
  <c r="L49" i="1"/>
  <c r="J49" i="1"/>
  <c r="D49" i="1"/>
  <c r="C49" i="1" s="1"/>
  <c r="K49" i="1" s="1"/>
  <c r="N48" i="1"/>
  <c r="M48" i="1"/>
  <c r="L48" i="1"/>
  <c r="J48" i="1"/>
  <c r="D48" i="1"/>
  <c r="C48" i="1"/>
  <c r="K48" i="1" s="1"/>
  <c r="N47" i="1"/>
  <c r="M47" i="1"/>
  <c r="L47" i="1"/>
  <c r="J47" i="1"/>
  <c r="D47" i="1"/>
  <c r="C47" i="1" s="1"/>
  <c r="K47" i="1" s="1"/>
  <c r="N46" i="1"/>
  <c r="M46" i="1"/>
  <c r="L46" i="1"/>
  <c r="J46" i="1"/>
  <c r="D46" i="1"/>
  <c r="C46" i="1"/>
  <c r="K46" i="1" s="1"/>
  <c r="N45" i="1"/>
  <c r="M45" i="1"/>
  <c r="L45" i="1"/>
  <c r="J45" i="1"/>
  <c r="D45" i="1"/>
  <c r="C45" i="1" s="1"/>
  <c r="K45" i="1" s="1"/>
  <c r="N44" i="1"/>
  <c r="M44" i="1"/>
  <c r="L44" i="1"/>
  <c r="J44" i="1"/>
  <c r="D44" i="1"/>
  <c r="C44" i="1" s="1"/>
  <c r="K44" i="1" s="1"/>
  <c r="N43" i="1"/>
  <c r="M43" i="1"/>
  <c r="L43" i="1"/>
  <c r="J43" i="1"/>
  <c r="D43" i="1"/>
  <c r="C43" i="1" s="1"/>
  <c r="K43" i="1" s="1"/>
  <c r="N42" i="1"/>
  <c r="M42" i="1"/>
  <c r="L42" i="1"/>
  <c r="J42" i="1"/>
  <c r="D42" i="1"/>
  <c r="C42" i="1" s="1"/>
  <c r="K42" i="1" s="1"/>
  <c r="N41" i="1"/>
  <c r="M41" i="1"/>
  <c r="L41" i="1"/>
  <c r="J41" i="1"/>
  <c r="D41" i="1"/>
  <c r="C41" i="1"/>
  <c r="K41" i="1" s="1"/>
  <c r="N40" i="1"/>
  <c r="M40" i="1"/>
  <c r="L40" i="1"/>
  <c r="J40" i="1"/>
  <c r="D40" i="1"/>
  <c r="C40" i="1" s="1"/>
  <c r="K40" i="1" s="1"/>
  <c r="N39" i="1"/>
  <c r="M39" i="1"/>
  <c r="L39" i="1"/>
  <c r="J39" i="1"/>
  <c r="D39" i="1"/>
  <c r="C39" i="1" s="1"/>
  <c r="K39" i="1" s="1"/>
  <c r="N38" i="1"/>
  <c r="M38" i="1"/>
  <c r="L38" i="1"/>
  <c r="J38" i="1"/>
  <c r="D38" i="1"/>
  <c r="C38" i="1" s="1"/>
  <c r="K38" i="1" s="1"/>
  <c r="N37" i="1"/>
  <c r="M37" i="1"/>
  <c r="L37" i="1"/>
  <c r="J37" i="1"/>
  <c r="D37" i="1"/>
  <c r="C37" i="1" s="1"/>
  <c r="K37" i="1" s="1"/>
  <c r="N36" i="1"/>
  <c r="M36" i="1"/>
  <c r="L36" i="1"/>
  <c r="J36" i="1"/>
  <c r="D36" i="1"/>
  <c r="C36" i="1" s="1"/>
  <c r="K36" i="1" s="1"/>
  <c r="N35" i="1"/>
  <c r="M35" i="1"/>
  <c r="L35" i="1"/>
  <c r="K35" i="1"/>
  <c r="J35" i="1"/>
  <c r="D35" i="1"/>
  <c r="C35" i="1"/>
  <c r="N34" i="1"/>
  <c r="M34" i="1"/>
  <c r="L34" i="1"/>
  <c r="J34" i="1"/>
  <c r="D34" i="1"/>
  <c r="C34" i="1" s="1"/>
  <c r="K34" i="1" s="1"/>
  <c r="N33" i="1"/>
  <c r="M33" i="1"/>
  <c r="L33" i="1"/>
  <c r="J33" i="1"/>
  <c r="D33" i="1"/>
  <c r="C33" i="1" s="1"/>
  <c r="K33" i="1" s="1"/>
  <c r="N32" i="1"/>
  <c r="M32" i="1"/>
  <c r="L32" i="1"/>
  <c r="J32" i="1"/>
  <c r="D32" i="1"/>
  <c r="C32" i="1"/>
  <c r="K32" i="1" s="1"/>
  <c r="N31" i="1"/>
  <c r="M31" i="1"/>
  <c r="L31" i="1"/>
  <c r="J31" i="1"/>
  <c r="D31" i="1"/>
  <c r="C31" i="1" s="1"/>
  <c r="K31" i="1" s="1"/>
  <c r="N30" i="1"/>
  <c r="M30" i="1"/>
  <c r="L30" i="1"/>
  <c r="J30" i="1"/>
  <c r="D30" i="1"/>
  <c r="C30" i="1"/>
  <c r="K30" i="1" s="1"/>
  <c r="N29" i="1"/>
  <c r="M29" i="1"/>
  <c r="L29" i="1"/>
  <c r="J29" i="1"/>
  <c r="D29" i="1"/>
  <c r="C29" i="1" s="1"/>
  <c r="K29" i="1" s="1"/>
  <c r="N28" i="1"/>
  <c r="M28" i="1"/>
  <c r="L28" i="1"/>
  <c r="J28" i="1"/>
  <c r="D28" i="1"/>
  <c r="C28" i="1" s="1"/>
  <c r="K28" i="1" s="1"/>
  <c r="N27" i="1"/>
  <c r="M27" i="1"/>
  <c r="L27" i="1"/>
  <c r="J27" i="1"/>
  <c r="D27" i="1"/>
  <c r="C27" i="1" s="1"/>
  <c r="K27" i="1" s="1"/>
  <c r="N26" i="1"/>
  <c r="M26" i="1"/>
  <c r="L26" i="1"/>
  <c r="J26" i="1"/>
  <c r="D26" i="1"/>
  <c r="C26" i="1" s="1"/>
  <c r="K26" i="1" s="1"/>
  <c r="N25" i="1"/>
  <c r="M25" i="1"/>
  <c r="L25" i="1"/>
  <c r="J25" i="1"/>
  <c r="D25" i="1"/>
  <c r="C25" i="1"/>
  <c r="K25" i="1" s="1"/>
  <c r="N24" i="1"/>
  <c r="M24" i="1"/>
  <c r="L24" i="1"/>
  <c r="J24" i="1"/>
  <c r="D24" i="1"/>
  <c r="C24" i="1" s="1"/>
  <c r="K24" i="1" s="1"/>
  <c r="N23" i="1"/>
  <c r="M23" i="1"/>
  <c r="L23" i="1"/>
  <c r="J23" i="1"/>
  <c r="D23" i="1"/>
  <c r="C23" i="1" s="1"/>
  <c r="K23" i="1" s="1"/>
  <c r="N22" i="1"/>
  <c r="M22" i="1"/>
  <c r="L22" i="1"/>
  <c r="J22" i="1"/>
  <c r="D22" i="1"/>
  <c r="C22" i="1" s="1"/>
  <c r="K22" i="1" s="1"/>
  <c r="N21" i="1"/>
  <c r="M21" i="1"/>
  <c r="L21" i="1"/>
  <c r="J21" i="1"/>
  <c r="D21" i="1"/>
  <c r="C21" i="1" s="1"/>
  <c r="K21" i="1" s="1"/>
  <c r="N20" i="1"/>
  <c r="M20" i="1"/>
  <c r="L20" i="1"/>
  <c r="J20" i="1"/>
  <c r="D20" i="1"/>
  <c r="C20" i="1" s="1"/>
  <c r="K20" i="1" s="1"/>
  <c r="N19" i="1"/>
  <c r="M19" i="1"/>
  <c r="L19" i="1"/>
  <c r="J19" i="1"/>
  <c r="D19" i="1"/>
  <c r="C19" i="1"/>
  <c r="K19" i="1" s="1"/>
  <c r="N18" i="1"/>
  <c r="M18" i="1"/>
  <c r="L18" i="1"/>
  <c r="J18" i="1"/>
  <c r="D18" i="1"/>
  <c r="C18" i="1" s="1"/>
  <c r="K18" i="1" s="1"/>
  <c r="N17" i="1"/>
  <c r="M17" i="1"/>
  <c r="L17" i="1"/>
  <c r="J17" i="1"/>
  <c r="D17" i="1"/>
  <c r="C17" i="1" s="1"/>
  <c r="K17" i="1" s="1"/>
  <c r="N16" i="1"/>
  <c r="M16" i="1"/>
  <c r="L16" i="1"/>
  <c r="J16" i="1"/>
  <c r="D16" i="1"/>
  <c r="C16" i="1"/>
  <c r="K16" i="1" s="1"/>
  <c r="N15" i="1"/>
  <c r="M15" i="1"/>
  <c r="L15" i="1"/>
  <c r="J15" i="1"/>
  <c r="D15" i="1"/>
  <c r="C15" i="1" s="1"/>
  <c r="K15" i="1" s="1"/>
  <c r="N14" i="1"/>
  <c r="M14" i="1"/>
  <c r="L14" i="1"/>
  <c r="J14" i="1"/>
  <c r="D14" i="1"/>
  <c r="C14" i="1"/>
  <c r="K14" i="1" s="1"/>
  <c r="N13" i="1"/>
  <c r="M13" i="1"/>
  <c r="L13" i="1"/>
  <c r="J13" i="1"/>
  <c r="D13" i="1"/>
  <c r="C13" i="1" s="1"/>
  <c r="K13" i="1" s="1"/>
  <c r="N12" i="1"/>
  <c r="M12" i="1"/>
  <c r="L12" i="1"/>
  <c r="J12" i="1"/>
  <c r="D12" i="1"/>
  <c r="C12" i="1"/>
  <c r="K12" i="1" s="1"/>
  <c r="N11" i="1"/>
  <c r="M11" i="1"/>
  <c r="L11" i="1"/>
  <c r="J11" i="1"/>
  <c r="D11" i="1"/>
  <c r="C11" i="1"/>
  <c r="K11" i="1" s="1"/>
  <c r="N10" i="1"/>
  <c r="M10" i="1"/>
  <c r="L10" i="1"/>
  <c r="J10" i="1"/>
  <c r="D10" i="1"/>
  <c r="C10" i="1" s="1"/>
  <c r="K10" i="1" s="1"/>
  <c r="N9" i="1"/>
  <c r="M9" i="1"/>
  <c r="L9" i="1"/>
  <c r="J9" i="1"/>
  <c r="D9" i="1"/>
  <c r="C9" i="1" s="1"/>
  <c r="K9" i="1" s="1"/>
  <c r="N8" i="1"/>
  <c r="M8" i="1"/>
  <c r="L8" i="1"/>
  <c r="J8" i="1"/>
  <c r="D8" i="1"/>
  <c r="C8" i="1"/>
  <c r="K8" i="1" s="1"/>
  <c r="N7" i="1"/>
  <c r="M7" i="1"/>
  <c r="L7" i="1"/>
  <c r="J7" i="1"/>
  <c r="D7" i="1"/>
  <c r="C7" i="1" s="1"/>
  <c r="K7" i="1" s="1"/>
  <c r="N6" i="1"/>
  <c r="M6" i="1"/>
  <c r="L6" i="1"/>
  <c r="J6" i="1"/>
  <c r="C6" i="1"/>
  <c r="K6" i="1" s="1"/>
  <c r="H3" i="3" l="1"/>
  <c r="D8" i="3" s="1"/>
  <c r="C8" i="3" s="1"/>
  <c r="D15" i="3" l="1"/>
  <c r="C15" i="3" s="1"/>
  <c r="D71" i="3"/>
  <c r="C71" i="3" s="1"/>
  <c r="D28" i="3"/>
  <c r="C28" i="3" s="1"/>
  <c r="D54" i="3"/>
  <c r="C54" i="3" s="1"/>
  <c r="D64" i="3"/>
  <c r="C64" i="3" s="1"/>
  <c r="D63" i="3"/>
  <c r="C63" i="3" s="1"/>
  <c r="D20" i="3"/>
  <c r="C20" i="3" s="1"/>
  <c r="D33" i="3"/>
  <c r="C33" i="3" s="1"/>
  <c r="D46" i="3"/>
  <c r="C46" i="3" s="1"/>
  <c r="D51" i="3"/>
  <c r="C51" i="3" s="1"/>
  <c r="D56" i="3"/>
  <c r="C56" i="3" s="1"/>
  <c r="D75" i="3"/>
  <c r="C75" i="3" s="1"/>
  <c r="D7" i="3"/>
  <c r="C7" i="3" s="1"/>
  <c r="D41" i="3"/>
  <c r="C41" i="3" s="1"/>
  <c r="D67" i="3"/>
  <c r="C67" i="3" s="1"/>
  <c r="D55" i="3"/>
  <c r="C55" i="3" s="1"/>
  <c r="D76" i="3"/>
  <c r="C76" i="3" s="1"/>
  <c r="D12" i="3"/>
  <c r="C12" i="3" s="1"/>
  <c r="D25" i="3"/>
  <c r="C25" i="3" s="1"/>
  <c r="D30" i="3"/>
  <c r="C30" i="3" s="1"/>
  <c r="D43" i="3"/>
  <c r="C43" i="3" s="1"/>
  <c r="D48" i="3"/>
  <c r="C48" i="3" s="1"/>
  <c r="D23" i="3"/>
  <c r="C23" i="3" s="1"/>
  <c r="D44" i="3"/>
  <c r="C44" i="3" s="1"/>
  <c r="D57" i="3"/>
  <c r="C57" i="3" s="1"/>
  <c r="D11" i="3"/>
  <c r="C11" i="3" s="1"/>
  <c r="D36" i="3"/>
  <c r="C36" i="3" s="1"/>
  <c r="D62" i="3"/>
  <c r="C62" i="3" s="1"/>
  <c r="D68" i="3"/>
  <c r="C68" i="3" s="1"/>
  <c r="D17" i="3"/>
  <c r="C17" i="3" s="1"/>
  <c r="D22" i="3"/>
  <c r="C22" i="3" s="1"/>
  <c r="D40" i="3"/>
  <c r="C40" i="3" s="1"/>
  <c r="D39" i="3"/>
  <c r="C39" i="3" s="1"/>
  <c r="D60" i="3"/>
  <c r="C60" i="3" s="1"/>
  <c r="D73" i="3"/>
  <c r="C73" i="3" s="1"/>
  <c r="D9" i="3"/>
  <c r="C9" i="3" s="1"/>
  <c r="D14" i="3"/>
  <c r="C14" i="3" s="1"/>
  <c r="D27" i="3"/>
  <c r="C27" i="3" s="1"/>
  <c r="D32" i="3"/>
  <c r="C32" i="3" s="1"/>
  <c r="D70" i="3"/>
  <c r="C70" i="3" s="1"/>
  <c r="D49" i="3"/>
  <c r="C49" i="3" s="1"/>
  <c r="D47" i="3"/>
  <c r="C47" i="3" s="1"/>
  <c r="D35" i="3"/>
  <c r="C35" i="3" s="1"/>
  <c r="D31" i="3"/>
  <c r="C31" i="3" s="1"/>
  <c r="D52" i="3"/>
  <c r="C52" i="3" s="1"/>
  <c r="D65" i="3"/>
  <c r="C65" i="3" s="1"/>
  <c r="D78" i="3"/>
  <c r="C78" i="3" s="1"/>
  <c r="D6" i="3"/>
  <c r="C6" i="3" s="1"/>
  <c r="D19" i="3"/>
  <c r="C19" i="3" s="1"/>
  <c r="D24" i="3"/>
  <c r="C24" i="3" s="1"/>
  <c r="D16" i="3"/>
  <c r="C16" i="3" s="1"/>
  <c r="D38" i="3"/>
  <c r="C38" i="3" s="1"/>
  <c r="D59" i="3"/>
  <c r="C59" i="3" s="1"/>
  <c r="D72" i="3"/>
  <c r="C72" i="3" s="1"/>
  <c r="D37" i="3"/>
  <c r="C37" i="3" s="1"/>
  <c r="D26" i="3"/>
  <c r="C26" i="3" s="1"/>
  <c r="D45" i="3"/>
  <c r="C45" i="3" s="1"/>
  <c r="D77" i="3"/>
  <c r="C77" i="3" s="1"/>
  <c r="D66" i="3"/>
  <c r="C66" i="3" s="1"/>
  <c r="D13" i="3"/>
  <c r="C13" i="3" s="1"/>
  <c r="D53" i="3"/>
  <c r="C53" i="3" s="1"/>
  <c r="D42" i="3"/>
  <c r="C42" i="3" s="1"/>
  <c r="D29" i="3"/>
  <c r="C29" i="3" s="1"/>
  <c r="D18" i="3"/>
  <c r="C18" i="3" s="1"/>
  <c r="D74" i="3"/>
  <c r="C74" i="3" s="1"/>
  <c r="D10" i="3"/>
  <c r="C10" i="3" s="1"/>
  <c r="D69" i="3"/>
  <c r="C69" i="3" s="1"/>
  <c r="D58" i="3"/>
  <c r="C58" i="3" s="1"/>
  <c r="D34" i="3"/>
  <c r="C34" i="3" s="1"/>
  <c r="D61" i="3"/>
  <c r="C61" i="3" s="1"/>
  <c r="D50" i="3"/>
  <c r="C50" i="3" s="1"/>
  <c r="D21" i="3"/>
  <c r="C21" i="3" s="1"/>
</calcChain>
</file>

<file path=xl/sharedStrings.xml><?xml version="1.0" encoding="utf-8"?>
<sst xmlns="http://schemas.openxmlformats.org/spreadsheetml/2006/main" count="193" uniqueCount="29">
  <si>
    <t>PM(vd)</t>
  </si>
  <si>
    <t>C_Time</t>
  </si>
  <si>
    <t>Trip</t>
  </si>
  <si>
    <t>n</t>
  </si>
  <si>
    <t>n+1</t>
  </si>
  <si>
    <t>vd</t>
  </si>
  <si>
    <t>Time</t>
    <phoneticPr fontId="1"/>
  </si>
  <si>
    <t>Count</t>
  </si>
  <si>
    <t>Time</t>
  </si>
  <si>
    <t>PB</t>
    <phoneticPr fontId="1"/>
  </si>
  <si>
    <t>バッテリ残量[kWh]</t>
    <rPh sb="4" eb="6">
      <t>ザンリョウ</t>
    </rPh>
    <phoneticPr fontId="1"/>
  </si>
  <si>
    <t>バッテリ残量[W]</t>
    <rPh sb="4" eb="6">
      <t>ザンリョウ</t>
    </rPh>
    <phoneticPr fontId="1"/>
  </si>
  <si>
    <t>PB[W]</t>
    <phoneticPr fontId="1"/>
  </si>
  <si>
    <t>Ps[W]</t>
    <phoneticPr fontId="1"/>
  </si>
  <si>
    <t>PM[W]</t>
    <phoneticPr fontId="1"/>
  </si>
  <si>
    <t>追加データ</t>
    <rPh sb="0" eb="2">
      <t>ツイカ</t>
    </rPh>
    <phoneticPr fontId="1"/>
  </si>
  <si>
    <t>バッテリ残量[Wh]</t>
    <rPh sb="4" eb="6">
      <t>ザンリョウ</t>
    </rPh>
    <phoneticPr fontId="1"/>
  </si>
  <si>
    <t>バッテリ残量初期値</t>
    <rPh sb="4" eb="6">
      <t>ザンリョウ</t>
    </rPh>
    <rPh sb="6" eb="9">
      <t>ショキチ</t>
    </rPh>
    <phoneticPr fontId="1"/>
  </si>
  <si>
    <t>P-t 図_スタート</t>
    <rPh sb="4" eb="5">
      <t>ズ</t>
    </rPh>
    <phoneticPr fontId="1"/>
  </si>
  <si>
    <t>P-t 図</t>
    <rPh sb="4" eb="5">
      <t>ズ</t>
    </rPh>
    <phoneticPr fontId="1"/>
  </si>
  <si>
    <t>PB[W]</t>
  </si>
  <si>
    <t>Ps[W]</t>
  </si>
  <si>
    <t>PM[W]</t>
  </si>
  <si>
    <t>P-t 図</t>
    <rPh sb="4" eb="5">
      <t>ズ</t>
    </rPh>
    <phoneticPr fontId="1"/>
  </si>
  <si>
    <t>Time</t>
    <phoneticPr fontId="1"/>
  </si>
  <si>
    <t>C_Time</t>
    <phoneticPr fontId="1"/>
  </si>
  <si>
    <t>ゴール時刻</t>
    <rPh sb="3" eb="5">
      <t>ジコク</t>
    </rPh>
    <phoneticPr fontId="1"/>
  </si>
  <si>
    <t>ゴール時のバッテリ残量</t>
    <rPh sb="3" eb="4">
      <t>ジ</t>
    </rPh>
    <rPh sb="9" eb="11">
      <t>ザンリョウ</t>
    </rPh>
    <phoneticPr fontId="1"/>
  </si>
  <si>
    <t>バッテリ残量(ｔ)＞０</t>
    <rPh sb="4" eb="6">
      <t>ザンリョウ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</si>
</sst>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yyyy/m/d\ h:mm;@"/>
  </numFmts>
  <fonts count="3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rgb="FF000000"/>
      <name val="游ゴシック"/>
      <family val="3"/>
      <charset val="128"/>
    </font>
  </fonts>
  <fills count="9">
    <fill>
      <patternFill patternType="none"/>
    </fill>
    <fill>
      <patternFill patternType="gray125"/>
    </fill>
    <fill>
      <patternFill patternType="solid">
        <fgColor theme="7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rgb="FFF8C8DB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 style="thin">
        <color indexed="64"/>
      </top>
      <bottom/>
      <diagonal/>
    </border>
  </borders>
  <cellStyleXfs count="1">
    <xf numFmtId="0" fontId="0" fillId="0" borderId="0">
      <alignment vertical="center"/>
    </xf>
  </cellStyleXfs>
  <cellXfs count="14">
    <xf numFmtId="0" fontId="0" fillId="0" borderId="0" xfId="0">
      <alignment vertical="center"/>
    </xf>
    <xf numFmtId="0" fontId="0" fillId="0" borderId="1" xfId="0" applyBorder="1">
      <alignment vertical="center"/>
    </xf>
    <xf numFmtId="0" fontId="0" fillId="2" borderId="1" xfId="0" applyFill="1" applyBorder="1">
      <alignment vertical="center"/>
    </xf>
    <xf numFmtId="176" fontId="0" fillId="0" borderId="0" xfId="0" applyNumberFormat="1">
      <alignment vertical="center"/>
    </xf>
    <xf numFmtId="0" fontId="0" fillId="3" borderId="1" xfId="0" applyFill="1" applyBorder="1">
      <alignment vertical="center"/>
    </xf>
    <xf numFmtId="0" fontId="0" fillId="4" borderId="1" xfId="0" applyFill="1" applyBorder="1">
      <alignment vertical="center"/>
    </xf>
    <xf numFmtId="0" fontId="0" fillId="0" borderId="2" xfId="0" applyBorder="1">
      <alignment vertical="center"/>
    </xf>
    <xf numFmtId="0" fontId="0" fillId="0" borderId="3" xfId="0" applyBorder="1">
      <alignment vertical="center"/>
    </xf>
    <xf numFmtId="22" fontId="0" fillId="0" borderId="0" xfId="0" applyNumberFormat="1">
      <alignment vertical="center"/>
    </xf>
    <xf numFmtId="0" fontId="0" fillId="5" borderId="0" xfId="0" applyFill="1" applyAlignment="1">
      <alignment horizontal="center" vertical="center"/>
    </xf>
    <xf numFmtId="0" fontId="0" fillId="7" borderId="0" xfId="0" applyFill="1" applyAlignment="1">
      <alignment horizontal="center" vertical="center"/>
    </xf>
    <xf numFmtId="0" fontId="0" fillId="6" borderId="4" xfId="0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8" borderId="1" xfId="0" applyFill="1" applyBorder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colors>
    <mruColors>
      <color rgb="FFF8C8DB"/>
      <color rgb="FFF4AAC8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Main_Day1!$J$6:$J$78</c:f>
              <c:numCache>
                <c:formatCode>yyyy/m/d\ h:mm;@</c:formatCode>
                <c:ptCount val="73"/>
                <c:pt idx="0">
                  <c:v>43751.25</c:v>
                </c:pt>
                <c:pt idx="1">
                  <c:v>43751.256944444445</c:v>
                </c:pt>
                <c:pt idx="2">
                  <c:v>43751.263888888891</c:v>
                </c:pt>
                <c:pt idx="3">
                  <c:v>43751.270833333336</c:v>
                </c:pt>
                <c:pt idx="4">
                  <c:v>43751.277777777781</c:v>
                </c:pt>
                <c:pt idx="5">
                  <c:v>43751.284722222219</c:v>
                </c:pt>
                <c:pt idx="6">
                  <c:v>43751.291666666664</c:v>
                </c:pt>
                <c:pt idx="7">
                  <c:v>43751.298611111109</c:v>
                </c:pt>
                <c:pt idx="8">
                  <c:v>43751.305555555555</c:v>
                </c:pt>
                <c:pt idx="9">
                  <c:v>43751.3125</c:v>
                </c:pt>
                <c:pt idx="10">
                  <c:v>43751.319444444445</c:v>
                </c:pt>
                <c:pt idx="11">
                  <c:v>43751.326388888891</c:v>
                </c:pt>
                <c:pt idx="12">
                  <c:v>43751.333333333336</c:v>
                </c:pt>
                <c:pt idx="13">
                  <c:v>43751.340277777781</c:v>
                </c:pt>
                <c:pt idx="14">
                  <c:v>43751.347222222219</c:v>
                </c:pt>
                <c:pt idx="15">
                  <c:v>43751.354166666664</c:v>
                </c:pt>
                <c:pt idx="16">
                  <c:v>43751.361111111109</c:v>
                </c:pt>
                <c:pt idx="17">
                  <c:v>43751.368055555555</c:v>
                </c:pt>
                <c:pt idx="18">
                  <c:v>43751.375</c:v>
                </c:pt>
                <c:pt idx="19">
                  <c:v>43751.381944444445</c:v>
                </c:pt>
                <c:pt idx="20">
                  <c:v>43751.388888888891</c:v>
                </c:pt>
                <c:pt idx="21">
                  <c:v>43751.395833333336</c:v>
                </c:pt>
                <c:pt idx="22">
                  <c:v>43751.402777777781</c:v>
                </c:pt>
                <c:pt idx="23">
                  <c:v>43751.409722222219</c:v>
                </c:pt>
                <c:pt idx="24">
                  <c:v>43751.416666666664</c:v>
                </c:pt>
                <c:pt idx="25">
                  <c:v>43751.423611111109</c:v>
                </c:pt>
                <c:pt idx="26">
                  <c:v>43751.430555555555</c:v>
                </c:pt>
                <c:pt idx="27">
                  <c:v>43751.4375</c:v>
                </c:pt>
                <c:pt idx="28">
                  <c:v>43751.444444444445</c:v>
                </c:pt>
                <c:pt idx="29">
                  <c:v>43751.451388888891</c:v>
                </c:pt>
                <c:pt idx="30">
                  <c:v>43751.458333333336</c:v>
                </c:pt>
                <c:pt idx="31">
                  <c:v>43751.465277777781</c:v>
                </c:pt>
                <c:pt idx="32">
                  <c:v>43751.472222222219</c:v>
                </c:pt>
                <c:pt idx="33">
                  <c:v>43751.479166666664</c:v>
                </c:pt>
                <c:pt idx="34">
                  <c:v>43751.486111111109</c:v>
                </c:pt>
                <c:pt idx="35">
                  <c:v>43751.493055555555</c:v>
                </c:pt>
                <c:pt idx="36">
                  <c:v>43751.5</c:v>
                </c:pt>
                <c:pt idx="37">
                  <c:v>43751.506944444445</c:v>
                </c:pt>
                <c:pt idx="38">
                  <c:v>43751.513888888891</c:v>
                </c:pt>
                <c:pt idx="39">
                  <c:v>43751.520833333336</c:v>
                </c:pt>
                <c:pt idx="40">
                  <c:v>43751.527777777781</c:v>
                </c:pt>
                <c:pt idx="41">
                  <c:v>43751.534722222219</c:v>
                </c:pt>
                <c:pt idx="42">
                  <c:v>43751.541666666664</c:v>
                </c:pt>
                <c:pt idx="43">
                  <c:v>43751.548611111109</c:v>
                </c:pt>
                <c:pt idx="44">
                  <c:v>43751.555555555555</c:v>
                </c:pt>
                <c:pt idx="45">
                  <c:v>43751.5625</c:v>
                </c:pt>
                <c:pt idx="46">
                  <c:v>43751.569444444445</c:v>
                </c:pt>
                <c:pt idx="47">
                  <c:v>43751.576388888891</c:v>
                </c:pt>
                <c:pt idx="48">
                  <c:v>43751.583333333336</c:v>
                </c:pt>
                <c:pt idx="49">
                  <c:v>43751.590277777781</c:v>
                </c:pt>
                <c:pt idx="50">
                  <c:v>43751.597222222219</c:v>
                </c:pt>
                <c:pt idx="51">
                  <c:v>43751.604166666664</c:v>
                </c:pt>
                <c:pt idx="52">
                  <c:v>43751.611111111109</c:v>
                </c:pt>
                <c:pt idx="53">
                  <c:v>43751.618055555555</c:v>
                </c:pt>
                <c:pt idx="54">
                  <c:v>43751.625</c:v>
                </c:pt>
                <c:pt idx="55">
                  <c:v>43751.631944444445</c:v>
                </c:pt>
                <c:pt idx="56">
                  <c:v>43751.638888888891</c:v>
                </c:pt>
                <c:pt idx="57">
                  <c:v>43751.645833333336</c:v>
                </c:pt>
                <c:pt idx="58">
                  <c:v>43751.652777777781</c:v>
                </c:pt>
                <c:pt idx="59">
                  <c:v>43751.659722222219</c:v>
                </c:pt>
                <c:pt idx="60">
                  <c:v>43751.666666666664</c:v>
                </c:pt>
                <c:pt idx="61">
                  <c:v>43751.673611111109</c:v>
                </c:pt>
                <c:pt idx="62">
                  <c:v>43751.680555555555</c:v>
                </c:pt>
                <c:pt idx="63">
                  <c:v>43751.6875</c:v>
                </c:pt>
                <c:pt idx="64">
                  <c:v>43751.694444444445</c:v>
                </c:pt>
                <c:pt idx="65">
                  <c:v>43751.701388888891</c:v>
                </c:pt>
                <c:pt idx="66">
                  <c:v>43751.708333333336</c:v>
                </c:pt>
                <c:pt idx="67">
                  <c:v>43751.715277777781</c:v>
                </c:pt>
                <c:pt idx="68">
                  <c:v>43751.722222222219</c:v>
                </c:pt>
                <c:pt idx="69">
                  <c:v>43751.729166666664</c:v>
                </c:pt>
                <c:pt idx="70">
                  <c:v>43751.736111111109</c:v>
                </c:pt>
                <c:pt idx="71">
                  <c:v>43751.743055555555</c:v>
                </c:pt>
                <c:pt idx="72">
                  <c:v>43751.75</c:v>
                </c:pt>
              </c:numCache>
            </c:numRef>
          </c:xVal>
          <c:yVal>
            <c:numRef>
              <c:f>Main_Day1!$K$6:$K$78</c:f>
              <c:numCache>
                <c:formatCode>General</c:formatCode>
                <c:ptCount val="73"/>
                <c:pt idx="0">
                  <c:v>4.9999986388888891</c:v>
                </c:pt>
                <c:pt idx="1">
                  <c:v>4.9999950000000002</c:v>
                </c:pt>
                <c:pt idx="2">
                  <c:v>4.9999895694444438</c:v>
                </c:pt>
                <c:pt idx="3">
                  <c:v>4.9999830833333334</c:v>
                </c:pt>
                <c:pt idx="4">
                  <c:v>4.9999759583333336</c:v>
                </c:pt>
                <c:pt idx="5">
                  <c:v>4.999968458333333</c:v>
                </c:pt>
                <c:pt idx="6">
                  <c:v>4.9999607500000005</c:v>
                </c:pt>
                <c:pt idx="7">
                  <c:v>4.9999529305555566</c:v>
                </c:pt>
                <c:pt idx="8">
                  <c:v>4.9999450694444443</c:v>
                </c:pt>
                <c:pt idx="9">
                  <c:v>4.9999372361111112</c:v>
                </c:pt>
                <c:pt idx="10">
                  <c:v>4.9999294583333338</c:v>
                </c:pt>
                <c:pt idx="11">
                  <c:v>4.9999217916666669</c:v>
                </c:pt>
                <c:pt idx="12">
                  <c:v>5.000110073089659</c:v>
                </c:pt>
                <c:pt idx="13">
                  <c:v>5.0001026842007708</c:v>
                </c:pt>
                <c:pt idx="14">
                  <c:v>5.0000954619785478</c:v>
                </c:pt>
                <c:pt idx="15">
                  <c:v>5.0000884342007703</c:v>
                </c:pt>
                <c:pt idx="16">
                  <c:v>5.0000816147563256</c:v>
                </c:pt>
                <c:pt idx="17">
                  <c:v>5.0000750314229929</c:v>
                </c:pt>
                <c:pt idx="18">
                  <c:v>5.0000686980896587</c:v>
                </c:pt>
                <c:pt idx="19">
                  <c:v>5.0000626286452139</c:v>
                </c:pt>
                <c:pt idx="20">
                  <c:v>5.0000568230896585</c:v>
                </c:pt>
                <c:pt idx="21">
                  <c:v>5.0000513230896582</c:v>
                </c:pt>
                <c:pt idx="22">
                  <c:v>5.0000461008674364</c:v>
                </c:pt>
                <c:pt idx="23">
                  <c:v>5.0000411980896589</c:v>
                </c:pt>
                <c:pt idx="24">
                  <c:v>5.0000366286452147</c:v>
                </c:pt>
                <c:pt idx="25">
                  <c:v>5.0000323786452148</c:v>
                </c:pt>
                <c:pt idx="26">
                  <c:v>5.0000284758674365</c:v>
                </c:pt>
                <c:pt idx="27">
                  <c:v>5.0000249064229925</c:v>
                </c:pt>
                <c:pt idx="28">
                  <c:v>5.0000216980896592</c:v>
                </c:pt>
                <c:pt idx="29">
                  <c:v>5.0000188647563251</c:v>
                </c:pt>
                <c:pt idx="30">
                  <c:v>5.0000163786452143</c:v>
                </c:pt>
                <c:pt idx="31">
                  <c:v>5.0000142814229918</c:v>
                </c:pt>
                <c:pt idx="32">
                  <c:v>5.00001255920077</c:v>
                </c:pt>
                <c:pt idx="33">
                  <c:v>5.0000112119785483</c:v>
                </c:pt>
                <c:pt idx="34">
                  <c:v>5.0000102397563264</c:v>
                </c:pt>
                <c:pt idx="35">
                  <c:v>5.0000096564229919</c:v>
                </c:pt>
                <c:pt idx="36">
                  <c:v>5.0000094758674365</c:v>
                </c:pt>
                <c:pt idx="37">
                  <c:v>4.9997730835994414</c:v>
                </c:pt>
                <c:pt idx="38">
                  <c:v>4.9997742502661078</c:v>
                </c:pt>
                <c:pt idx="39">
                  <c:v>4.9997761947105523</c:v>
                </c:pt>
                <c:pt idx="40">
                  <c:v>4.9997788613772185</c:v>
                </c:pt>
                <c:pt idx="41">
                  <c:v>4.9997823335994411</c:v>
                </c:pt>
                <c:pt idx="42">
                  <c:v>4.9997865280438853</c:v>
                </c:pt>
                <c:pt idx="43">
                  <c:v>4.9997914724883303</c:v>
                </c:pt>
                <c:pt idx="44">
                  <c:v>4.9997971669327743</c:v>
                </c:pt>
                <c:pt idx="45">
                  <c:v>4.9998035835994408</c:v>
                </c:pt>
                <c:pt idx="46">
                  <c:v>4.9998106947105523</c:v>
                </c:pt>
                <c:pt idx="47">
                  <c:v>4.9998185280438854</c:v>
                </c:pt>
                <c:pt idx="48">
                  <c:v>4.9998270002661078</c:v>
                </c:pt>
                <c:pt idx="49">
                  <c:v>4.9998361669327744</c:v>
                </c:pt>
                <c:pt idx="50">
                  <c:v>4.9998459724883295</c:v>
                </c:pt>
                <c:pt idx="51">
                  <c:v>4.9998563891549965</c:v>
                </c:pt>
                <c:pt idx="52">
                  <c:v>4.9998674169327746</c:v>
                </c:pt>
                <c:pt idx="53">
                  <c:v>4.9998790280438854</c:v>
                </c:pt>
                <c:pt idx="54">
                  <c:v>4.9998911669327741</c:v>
                </c:pt>
                <c:pt idx="55">
                  <c:v>4.9999038335994408</c:v>
                </c:pt>
                <c:pt idx="56">
                  <c:v>4.999917000266108</c:v>
                </c:pt>
                <c:pt idx="57">
                  <c:v>4.9999306113772191</c:v>
                </c:pt>
                <c:pt idx="58">
                  <c:v>4.9999446669327741</c:v>
                </c:pt>
                <c:pt idx="59">
                  <c:v>4.999959111377219</c:v>
                </c:pt>
                <c:pt idx="60">
                  <c:v>4.9999739169327748</c:v>
                </c:pt>
                <c:pt idx="61">
                  <c:v>4.9999890002661074</c:v>
                </c:pt>
                <c:pt idx="62">
                  <c:v>5.0000043613772185</c:v>
                </c:pt>
                <c:pt idx="63">
                  <c:v>5.0000198891549967</c:v>
                </c:pt>
                <c:pt idx="64">
                  <c:v>5.0000355835994412</c:v>
                </c:pt>
                <c:pt idx="65">
                  <c:v>5.0000512780438857</c:v>
                </c:pt>
                <c:pt idx="66">
                  <c:v>4.9999214722222227</c:v>
                </c:pt>
                <c:pt idx="67">
                  <c:v>4.999936916666667</c:v>
                </c:pt>
                <c:pt idx="68">
                  <c:v>4.999951888888889</c:v>
                </c:pt>
                <c:pt idx="69">
                  <c:v>4.9999661388888885</c:v>
                </c:pt>
                <c:pt idx="70">
                  <c:v>4.9999791388888886</c:v>
                </c:pt>
                <c:pt idx="71">
                  <c:v>4.9999899999999995</c:v>
                </c:pt>
                <c:pt idx="72">
                  <c:v>4.9999972777777772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4C3-4962-9F6B-BFA2EEA236C5}"/>
            </c:ext>
          </c:extLst>
        </c:ser>
        <c:ser>
          <c:idx val="1"/>
          <c:order val="1"/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Main_Day1!$J$6:$J$78</c:f>
              <c:numCache>
                <c:formatCode>yyyy/m/d\ h:mm;@</c:formatCode>
                <c:ptCount val="73"/>
                <c:pt idx="0">
                  <c:v>43751.25</c:v>
                </c:pt>
                <c:pt idx="1">
                  <c:v>43751.256944444445</c:v>
                </c:pt>
                <c:pt idx="2">
                  <c:v>43751.263888888891</c:v>
                </c:pt>
                <c:pt idx="3">
                  <c:v>43751.270833333336</c:v>
                </c:pt>
                <c:pt idx="4">
                  <c:v>43751.277777777781</c:v>
                </c:pt>
                <c:pt idx="5">
                  <c:v>43751.284722222219</c:v>
                </c:pt>
                <c:pt idx="6">
                  <c:v>43751.291666666664</c:v>
                </c:pt>
                <c:pt idx="7">
                  <c:v>43751.298611111109</c:v>
                </c:pt>
                <c:pt idx="8">
                  <c:v>43751.305555555555</c:v>
                </c:pt>
                <c:pt idx="9">
                  <c:v>43751.3125</c:v>
                </c:pt>
                <c:pt idx="10">
                  <c:v>43751.319444444445</c:v>
                </c:pt>
                <c:pt idx="11">
                  <c:v>43751.326388888891</c:v>
                </c:pt>
                <c:pt idx="12">
                  <c:v>43751.333333333336</c:v>
                </c:pt>
                <c:pt idx="13">
                  <c:v>43751.340277777781</c:v>
                </c:pt>
                <c:pt idx="14">
                  <c:v>43751.347222222219</c:v>
                </c:pt>
                <c:pt idx="15">
                  <c:v>43751.354166666664</c:v>
                </c:pt>
                <c:pt idx="16">
                  <c:v>43751.361111111109</c:v>
                </c:pt>
                <c:pt idx="17">
                  <c:v>43751.368055555555</c:v>
                </c:pt>
                <c:pt idx="18">
                  <c:v>43751.375</c:v>
                </c:pt>
                <c:pt idx="19">
                  <c:v>43751.381944444445</c:v>
                </c:pt>
                <c:pt idx="20">
                  <c:v>43751.388888888891</c:v>
                </c:pt>
                <c:pt idx="21">
                  <c:v>43751.395833333336</c:v>
                </c:pt>
                <c:pt idx="22">
                  <c:v>43751.402777777781</c:v>
                </c:pt>
                <c:pt idx="23">
                  <c:v>43751.409722222219</c:v>
                </c:pt>
                <c:pt idx="24">
                  <c:v>43751.416666666664</c:v>
                </c:pt>
                <c:pt idx="25">
                  <c:v>43751.423611111109</c:v>
                </c:pt>
                <c:pt idx="26">
                  <c:v>43751.430555555555</c:v>
                </c:pt>
                <c:pt idx="27">
                  <c:v>43751.4375</c:v>
                </c:pt>
                <c:pt idx="28">
                  <c:v>43751.444444444445</c:v>
                </c:pt>
                <c:pt idx="29">
                  <c:v>43751.451388888891</c:v>
                </c:pt>
                <c:pt idx="30">
                  <c:v>43751.458333333336</c:v>
                </c:pt>
                <c:pt idx="31">
                  <c:v>43751.465277777781</c:v>
                </c:pt>
                <c:pt idx="32">
                  <c:v>43751.472222222219</c:v>
                </c:pt>
                <c:pt idx="33">
                  <c:v>43751.479166666664</c:v>
                </c:pt>
                <c:pt idx="34">
                  <c:v>43751.486111111109</c:v>
                </c:pt>
                <c:pt idx="35">
                  <c:v>43751.493055555555</c:v>
                </c:pt>
                <c:pt idx="36">
                  <c:v>43751.5</c:v>
                </c:pt>
                <c:pt idx="37">
                  <c:v>43751.506944444445</c:v>
                </c:pt>
                <c:pt idx="38">
                  <c:v>43751.513888888891</c:v>
                </c:pt>
                <c:pt idx="39">
                  <c:v>43751.520833333336</c:v>
                </c:pt>
                <c:pt idx="40">
                  <c:v>43751.527777777781</c:v>
                </c:pt>
                <c:pt idx="41">
                  <c:v>43751.534722222219</c:v>
                </c:pt>
                <c:pt idx="42">
                  <c:v>43751.541666666664</c:v>
                </c:pt>
                <c:pt idx="43">
                  <c:v>43751.548611111109</c:v>
                </c:pt>
                <c:pt idx="44">
                  <c:v>43751.555555555555</c:v>
                </c:pt>
                <c:pt idx="45">
                  <c:v>43751.5625</c:v>
                </c:pt>
                <c:pt idx="46">
                  <c:v>43751.569444444445</c:v>
                </c:pt>
                <c:pt idx="47">
                  <c:v>43751.576388888891</c:v>
                </c:pt>
                <c:pt idx="48">
                  <c:v>43751.583333333336</c:v>
                </c:pt>
                <c:pt idx="49">
                  <c:v>43751.590277777781</c:v>
                </c:pt>
                <c:pt idx="50">
                  <c:v>43751.597222222219</c:v>
                </c:pt>
                <c:pt idx="51">
                  <c:v>43751.604166666664</c:v>
                </c:pt>
                <c:pt idx="52">
                  <c:v>43751.611111111109</c:v>
                </c:pt>
                <c:pt idx="53">
                  <c:v>43751.618055555555</c:v>
                </c:pt>
                <c:pt idx="54">
                  <c:v>43751.625</c:v>
                </c:pt>
                <c:pt idx="55">
                  <c:v>43751.631944444445</c:v>
                </c:pt>
                <c:pt idx="56">
                  <c:v>43751.638888888891</c:v>
                </c:pt>
                <c:pt idx="57">
                  <c:v>43751.645833333336</c:v>
                </c:pt>
                <c:pt idx="58">
                  <c:v>43751.652777777781</c:v>
                </c:pt>
                <c:pt idx="59">
                  <c:v>43751.659722222219</c:v>
                </c:pt>
                <c:pt idx="60">
                  <c:v>43751.666666666664</c:v>
                </c:pt>
                <c:pt idx="61">
                  <c:v>43751.673611111109</c:v>
                </c:pt>
                <c:pt idx="62">
                  <c:v>43751.680555555555</c:v>
                </c:pt>
                <c:pt idx="63">
                  <c:v>43751.6875</c:v>
                </c:pt>
                <c:pt idx="64">
                  <c:v>43751.694444444445</c:v>
                </c:pt>
                <c:pt idx="65">
                  <c:v>43751.701388888891</c:v>
                </c:pt>
                <c:pt idx="66">
                  <c:v>43751.708333333336</c:v>
                </c:pt>
                <c:pt idx="67">
                  <c:v>43751.715277777781</c:v>
                </c:pt>
                <c:pt idx="68">
                  <c:v>43751.722222222219</c:v>
                </c:pt>
                <c:pt idx="69">
                  <c:v>43751.729166666664</c:v>
                </c:pt>
                <c:pt idx="70">
                  <c:v>43751.736111111109</c:v>
                </c:pt>
                <c:pt idx="71">
                  <c:v>43751.743055555555</c:v>
                </c:pt>
                <c:pt idx="72">
                  <c:v>43751.75</c:v>
                </c:pt>
              </c:numCache>
            </c:numRef>
          </c:xVal>
          <c:yVal>
            <c:numRef>
              <c:f>Main_Day1!$L$6:$L$78</c:f>
              <c:numCache>
                <c:formatCode>General</c:formatCode>
                <c:ptCount val="73"/>
                <c:pt idx="0">
                  <c:v>4.9000000000000004</c:v>
                </c:pt>
                <c:pt idx="1">
                  <c:v>18</c:v>
                </c:pt>
                <c:pt idx="2">
                  <c:v>37.549999999999997</c:v>
                </c:pt>
                <c:pt idx="3">
                  <c:v>60.9</c:v>
                </c:pt>
                <c:pt idx="4">
                  <c:v>86.55</c:v>
                </c:pt>
                <c:pt idx="5">
                  <c:v>113.55</c:v>
                </c:pt>
                <c:pt idx="6">
                  <c:v>141.30000000000001</c:v>
                </c:pt>
                <c:pt idx="7">
                  <c:v>169.45</c:v>
                </c:pt>
                <c:pt idx="8">
                  <c:v>197.75</c:v>
                </c:pt>
                <c:pt idx="9">
                  <c:v>225.95</c:v>
                </c:pt>
                <c:pt idx="10">
                  <c:v>253.95</c:v>
                </c:pt>
                <c:pt idx="11">
                  <c:v>281.55</c:v>
                </c:pt>
                <c:pt idx="12">
                  <c:v>-396.26312277163879</c:v>
                </c:pt>
                <c:pt idx="13">
                  <c:v>-369.66312277163877</c:v>
                </c:pt>
                <c:pt idx="14">
                  <c:v>-343.66312277163877</c:v>
                </c:pt>
                <c:pt idx="15">
                  <c:v>-318.36312277163881</c:v>
                </c:pt>
                <c:pt idx="16">
                  <c:v>-293.8131227716388</c:v>
                </c:pt>
                <c:pt idx="17">
                  <c:v>-270.11312277163881</c:v>
                </c:pt>
                <c:pt idx="18">
                  <c:v>-247.3131227716388</c:v>
                </c:pt>
                <c:pt idx="19">
                  <c:v>-225.46312277163878</c:v>
                </c:pt>
                <c:pt idx="20">
                  <c:v>-204.5631227716388</c:v>
                </c:pt>
                <c:pt idx="21">
                  <c:v>-184.76312277163879</c:v>
                </c:pt>
                <c:pt idx="22">
                  <c:v>-165.96312277163884</c:v>
                </c:pt>
                <c:pt idx="23">
                  <c:v>-148.31312277163875</c:v>
                </c:pt>
                <c:pt idx="24">
                  <c:v>-131.86312277163881</c:v>
                </c:pt>
                <c:pt idx="25">
                  <c:v>-116.56312277163875</c:v>
                </c:pt>
                <c:pt idx="26">
                  <c:v>-102.51312277163879</c:v>
                </c:pt>
                <c:pt idx="27">
                  <c:v>-89.663122771638768</c:v>
                </c:pt>
                <c:pt idx="28">
                  <c:v>-78.113122771638814</c:v>
                </c:pt>
                <c:pt idx="29">
                  <c:v>-67.913122771638768</c:v>
                </c:pt>
                <c:pt idx="30">
                  <c:v>-58.963122771638837</c:v>
                </c:pt>
                <c:pt idx="31">
                  <c:v>-51.413122771638768</c:v>
                </c:pt>
                <c:pt idx="32">
                  <c:v>-45.213122771638837</c:v>
                </c:pt>
                <c:pt idx="33">
                  <c:v>-40.363122771638814</c:v>
                </c:pt>
                <c:pt idx="34">
                  <c:v>-36.863122771638814</c:v>
                </c:pt>
                <c:pt idx="35">
                  <c:v>-34.763122771638791</c:v>
                </c:pt>
                <c:pt idx="36">
                  <c:v>-34.113122771638814</c:v>
                </c:pt>
                <c:pt idx="37">
                  <c:v>816.8990420115814</c:v>
                </c:pt>
                <c:pt idx="38">
                  <c:v>812.69904201158135</c:v>
                </c:pt>
                <c:pt idx="39">
                  <c:v>805.69904201158135</c:v>
                </c:pt>
                <c:pt idx="40">
                  <c:v>796.09904201158145</c:v>
                </c:pt>
                <c:pt idx="41">
                  <c:v>783.59904201158145</c:v>
                </c:pt>
                <c:pt idx="42">
                  <c:v>768.49904201158131</c:v>
                </c:pt>
                <c:pt idx="43">
                  <c:v>750.69904201158135</c:v>
                </c:pt>
                <c:pt idx="44">
                  <c:v>730.19904201158135</c:v>
                </c:pt>
                <c:pt idx="45">
                  <c:v>707.09904201158145</c:v>
                </c:pt>
                <c:pt idx="46">
                  <c:v>681.49904201158131</c:v>
                </c:pt>
                <c:pt idx="47">
                  <c:v>653.29904201158149</c:v>
                </c:pt>
                <c:pt idx="48">
                  <c:v>622.79904201158149</c:v>
                </c:pt>
                <c:pt idx="49">
                  <c:v>589.79904201158149</c:v>
                </c:pt>
                <c:pt idx="50">
                  <c:v>554.49904201158131</c:v>
                </c:pt>
                <c:pt idx="51">
                  <c:v>516.99904201158131</c:v>
                </c:pt>
                <c:pt idx="52">
                  <c:v>477.29904201158138</c:v>
                </c:pt>
                <c:pt idx="53">
                  <c:v>435.49904201158142</c:v>
                </c:pt>
                <c:pt idx="54">
                  <c:v>391.79904201158138</c:v>
                </c:pt>
                <c:pt idx="55">
                  <c:v>346.19904201158135</c:v>
                </c:pt>
                <c:pt idx="56">
                  <c:v>298.79904201158138</c:v>
                </c:pt>
                <c:pt idx="57">
                  <c:v>249.79904201158138</c:v>
                </c:pt>
                <c:pt idx="58">
                  <c:v>199.19904201158135</c:v>
                </c:pt>
                <c:pt idx="59">
                  <c:v>147.19904201158135</c:v>
                </c:pt>
                <c:pt idx="60">
                  <c:v>93.8990420115814</c:v>
                </c:pt>
                <c:pt idx="61">
                  <c:v>39.599042011581446</c:v>
                </c:pt>
                <c:pt idx="62">
                  <c:v>-15.700957988418622</c:v>
                </c:pt>
                <c:pt idx="63">
                  <c:v>-71.6009579884186</c:v>
                </c:pt>
                <c:pt idx="64">
                  <c:v>-128.1009579884186</c:v>
                </c:pt>
                <c:pt idx="65">
                  <c:v>-184.6009579884186</c:v>
                </c:pt>
                <c:pt idx="66">
                  <c:v>282.7</c:v>
                </c:pt>
                <c:pt idx="67">
                  <c:v>227.1</c:v>
                </c:pt>
                <c:pt idx="68">
                  <c:v>173.2</c:v>
                </c:pt>
                <c:pt idx="69">
                  <c:v>121.9</c:v>
                </c:pt>
                <c:pt idx="70">
                  <c:v>75.099999999999994</c:v>
                </c:pt>
                <c:pt idx="71">
                  <c:v>36</c:v>
                </c:pt>
                <c:pt idx="72">
                  <c:v>9.8000000000000007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4C3-4962-9F6B-BFA2EEA236C5}"/>
            </c:ext>
          </c:extLst>
        </c:ser>
        <c:ser>
          <c:idx val="2"/>
          <c:order val="2"/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Main_Day1!$J$6:$J$78</c:f>
              <c:numCache>
                <c:formatCode>yyyy/m/d\ h:mm;@</c:formatCode>
                <c:ptCount val="73"/>
                <c:pt idx="0">
                  <c:v>43751.25</c:v>
                </c:pt>
                <c:pt idx="1">
                  <c:v>43751.256944444445</c:v>
                </c:pt>
                <c:pt idx="2">
                  <c:v>43751.263888888891</c:v>
                </c:pt>
                <c:pt idx="3">
                  <c:v>43751.270833333336</c:v>
                </c:pt>
                <c:pt idx="4">
                  <c:v>43751.277777777781</c:v>
                </c:pt>
                <c:pt idx="5">
                  <c:v>43751.284722222219</c:v>
                </c:pt>
                <c:pt idx="6">
                  <c:v>43751.291666666664</c:v>
                </c:pt>
                <c:pt idx="7">
                  <c:v>43751.298611111109</c:v>
                </c:pt>
                <c:pt idx="8">
                  <c:v>43751.305555555555</c:v>
                </c:pt>
                <c:pt idx="9">
                  <c:v>43751.3125</c:v>
                </c:pt>
                <c:pt idx="10">
                  <c:v>43751.319444444445</c:v>
                </c:pt>
                <c:pt idx="11">
                  <c:v>43751.326388888891</c:v>
                </c:pt>
                <c:pt idx="12">
                  <c:v>43751.333333333336</c:v>
                </c:pt>
                <c:pt idx="13">
                  <c:v>43751.340277777781</c:v>
                </c:pt>
                <c:pt idx="14">
                  <c:v>43751.347222222219</c:v>
                </c:pt>
                <c:pt idx="15">
                  <c:v>43751.354166666664</c:v>
                </c:pt>
                <c:pt idx="16">
                  <c:v>43751.361111111109</c:v>
                </c:pt>
                <c:pt idx="17">
                  <c:v>43751.368055555555</c:v>
                </c:pt>
                <c:pt idx="18">
                  <c:v>43751.375</c:v>
                </c:pt>
                <c:pt idx="19">
                  <c:v>43751.381944444445</c:v>
                </c:pt>
                <c:pt idx="20">
                  <c:v>43751.388888888891</c:v>
                </c:pt>
                <c:pt idx="21">
                  <c:v>43751.395833333336</c:v>
                </c:pt>
                <c:pt idx="22">
                  <c:v>43751.402777777781</c:v>
                </c:pt>
                <c:pt idx="23">
                  <c:v>43751.409722222219</c:v>
                </c:pt>
                <c:pt idx="24">
                  <c:v>43751.416666666664</c:v>
                </c:pt>
                <c:pt idx="25">
                  <c:v>43751.423611111109</c:v>
                </c:pt>
                <c:pt idx="26">
                  <c:v>43751.430555555555</c:v>
                </c:pt>
                <c:pt idx="27">
                  <c:v>43751.4375</c:v>
                </c:pt>
                <c:pt idx="28">
                  <c:v>43751.444444444445</c:v>
                </c:pt>
                <c:pt idx="29">
                  <c:v>43751.451388888891</c:v>
                </c:pt>
                <c:pt idx="30">
                  <c:v>43751.458333333336</c:v>
                </c:pt>
                <c:pt idx="31">
                  <c:v>43751.465277777781</c:v>
                </c:pt>
                <c:pt idx="32">
                  <c:v>43751.472222222219</c:v>
                </c:pt>
                <c:pt idx="33">
                  <c:v>43751.479166666664</c:v>
                </c:pt>
                <c:pt idx="34">
                  <c:v>43751.486111111109</c:v>
                </c:pt>
                <c:pt idx="35">
                  <c:v>43751.493055555555</c:v>
                </c:pt>
                <c:pt idx="36">
                  <c:v>43751.5</c:v>
                </c:pt>
                <c:pt idx="37">
                  <c:v>43751.506944444445</c:v>
                </c:pt>
                <c:pt idx="38">
                  <c:v>43751.513888888891</c:v>
                </c:pt>
                <c:pt idx="39">
                  <c:v>43751.520833333336</c:v>
                </c:pt>
                <c:pt idx="40">
                  <c:v>43751.527777777781</c:v>
                </c:pt>
                <c:pt idx="41">
                  <c:v>43751.534722222219</c:v>
                </c:pt>
                <c:pt idx="42">
                  <c:v>43751.541666666664</c:v>
                </c:pt>
                <c:pt idx="43">
                  <c:v>43751.548611111109</c:v>
                </c:pt>
                <c:pt idx="44">
                  <c:v>43751.555555555555</c:v>
                </c:pt>
                <c:pt idx="45">
                  <c:v>43751.5625</c:v>
                </c:pt>
                <c:pt idx="46">
                  <c:v>43751.569444444445</c:v>
                </c:pt>
                <c:pt idx="47">
                  <c:v>43751.576388888891</c:v>
                </c:pt>
                <c:pt idx="48">
                  <c:v>43751.583333333336</c:v>
                </c:pt>
                <c:pt idx="49">
                  <c:v>43751.590277777781</c:v>
                </c:pt>
                <c:pt idx="50">
                  <c:v>43751.597222222219</c:v>
                </c:pt>
                <c:pt idx="51">
                  <c:v>43751.604166666664</c:v>
                </c:pt>
                <c:pt idx="52">
                  <c:v>43751.611111111109</c:v>
                </c:pt>
                <c:pt idx="53">
                  <c:v>43751.618055555555</c:v>
                </c:pt>
                <c:pt idx="54">
                  <c:v>43751.625</c:v>
                </c:pt>
                <c:pt idx="55">
                  <c:v>43751.631944444445</c:v>
                </c:pt>
                <c:pt idx="56">
                  <c:v>43751.638888888891</c:v>
                </c:pt>
                <c:pt idx="57">
                  <c:v>43751.645833333336</c:v>
                </c:pt>
                <c:pt idx="58">
                  <c:v>43751.652777777781</c:v>
                </c:pt>
                <c:pt idx="59">
                  <c:v>43751.659722222219</c:v>
                </c:pt>
                <c:pt idx="60">
                  <c:v>43751.666666666664</c:v>
                </c:pt>
                <c:pt idx="61">
                  <c:v>43751.673611111109</c:v>
                </c:pt>
                <c:pt idx="62">
                  <c:v>43751.680555555555</c:v>
                </c:pt>
                <c:pt idx="63">
                  <c:v>43751.6875</c:v>
                </c:pt>
                <c:pt idx="64">
                  <c:v>43751.694444444445</c:v>
                </c:pt>
                <c:pt idx="65">
                  <c:v>43751.701388888891</c:v>
                </c:pt>
                <c:pt idx="66">
                  <c:v>43751.708333333336</c:v>
                </c:pt>
                <c:pt idx="67">
                  <c:v>43751.715277777781</c:v>
                </c:pt>
                <c:pt idx="68">
                  <c:v>43751.722222222219</c:v>
                </c:pt>
                <c:pt idx="69">
                  <c:v>43751.729166666664</c:v>
                </c:pt>
                <c:pt idx="70">
                  <c:v>43751.736111111109</c:v>
                </c:pt>
                <c:pt idx="71">
                  <c:v>43751.743055555555</c:v>
                </c:pt>
                <c:pt idx="72">
                  <c:v>43751.75</c:v>
                </c:pt>
              </c:numCache>
            </c:numRef>
          </c:xVal>
          <c:yVal>
            <c:numRef>
              <c:f>Main_Day1!$M$6:$M$78</c:f>
              <c:numCache>
                <c:formatCode>General</c:formatCode>
                <c:ptCount val="73"/>
                <c:pt idx="0">
                  <c:v>4.9000000000000004</c:v>
                </c:pt>
                <c:pt idx="1">
                  <c:v>18</c:v>
                </c:pt>
                <c:pt idx="2">
                  <c:v>37.549999999999997</c:v>
                </c:pt>
                <c:pt idx="3">
                  <c:v>60.9</c:v>
                </c:pt>
                <c:pt idx="4">
                  <c:v>86.55</c:v>
                </c:pt>
                <c:pt idx="5">
                  <c:v>113.55</c:v>
                </c:pt>
                <c:pt idx="6">
                  <c:v>141.30000000000001</c:v>
                </c:pt>
                <c:pt idx="7">
                  <c:v>169.45</c:v>
                </c:pt>
                <c:pt idx="8">
                  <c:v>197.75</c:v>
                </c:pt>
                <c:pt idx="9">
                  <c:v>225.95</c:v>
                </c:pt>
                <c:pt idx="10">
                  <c:v>253.95</c:v>
                </c:pt>
                <c:pt idx="11">
                  <c:v>281.55</c:v>
                </c:pt>
                <c:pt idx="12">
                  <c:v>308.75</c:v>
                </c:pt>
                <c:pt idx="13">
                  <c:v>335.35</c:v>
                </c:pt>
                <c:pt idx="14">
                  <c:v>361.35</c:v>
                </c:pt>
                <c:pt idx="15">
                  <c:v>386.65</c:v>
                </c:pt>
                <c:pt idx="16">
                  <c:v>411.2</c:v>
                </c:pt>
                <c:pt idx="17">
                  <c:v>434.9</c:v>
                </c:pt>
                <c:pt idx="18">
                  <c:v>457.7</c:v>
                </c:pt>
                <c:pt idx="19">
                  <c:v>479.55</c:v>
                </c:pt>
                <c:pt idx="20">
                  <c:v>500.45</c:v>
                </c:pt>
                <c:pt idx="21">
                  <c:v>520.25</c:v>
                </c:pt>
                <c:pt idx="22">
                  <c:v>539.04999999999995</c:v>
                </c:pt>
                <c:pt idx="23">
                  <c:v>556.70000000000005</c:v>
                </c:pt>
                <c:pt idx="24">
                  <c:v>573.15</c:v>
                </c:pt>
                <c:pt idx="25">
                  <c:v>588.45000000000005</c:v>
                </c:pt>
                <c:pt idx="26">
                  <c:v>602.5</c:v>
                </c:pt>
                <c:pt idx="27">
                  <c:v>615.35</c:v>
                </c:pt>
                <c:pt idx="28">
                  <c:v>626.9</c:v>
                </c:pt>
                <c:pt idx="29">
                  <c:v>637.1</c:v>
                </c:pt>
                <c:pt idx="30">
                  <c:v>646.04999999999995</c:v>
                </c:pt>
                <c:pt idx="31">
                  <c:v>653.6</c:v>
                </c:pt>
                <c:pt idx="32">
                  <c:v>659.8</c:v>
                </c:pt>
                <c:pt idx="33">
                  <c:v>664.65</c:v>
                </c:pt>
                <c:pt idx="34">
                  <c:v>668.15</c:v>
                </c:pt>
                <c:pt idx="35">
                  <c:v>670.25</c:v>
                </c:pt>
                <c:pt idx="36">
                  <c:v>670.9</c:v>
                </c:pt>
                <c:pt idx="37">
                  <c:v>1340.5</c:v>
                </c:pt>
                <c:pt idx="38">
                  <c:v>1336.3</c:v>
                </c:pt>
                <c:pt idx="39">
                  <c:v>1329.3</c:v>
                </c:pt>
                <c:pt idx="40">
                  <c:v>1319.7</c:v>
                </c:pt>
                <c:pt idx="41">
                  <c:v>1307.2</c:v>
                </c:pt>
                <c:pt idx="42">
                  <c:v>1292.0999999999999</c:v>
                </c:pt>
                <c:pt idx="43">
                  <c:v>1274.3</c:v>
                </c:pt>
                <c:pt idx="44">
                  <c:v>1253.8</c:v>
                </c:pt>
                <c:pt idx="45">
                  <c:v>1230.7</c:v>
                </c:pt>
                <c:pt idx="46">
                  <c:v>1205.0999999999999</c:v>
                </c:pt>
                <c:pt idx="47">
                  <c:v>1176.9000000000001</c:v>
                </c:pt>
                <c:pt idx="48">
                  <c:v>1146.4000000000001</c:v>
                </c:pt>
                <c:pt idx="49">
                  <c:v>1113.4000000000001</c:v>
                </c:pt>
                <c:pt idx="50">
                  <c:v>1078.0999999999999</c:v>
                </c:pt>
                <c:pt idx="51">
                  <c:v>1040.5999999999999</c:v>
                </c:pt>
                <c:pt idx="52">
                  <c:v>1000.9</c:v>
                </c:pt>
                <c:pt idx="53">
                  <c:v>959.1</c:v>
                </c:pt>
                <c:pt idx="54">
                  <c:v>915.4</c:v>
                </c:pt>
                <c:pt idx="55">
                  <c:v>869.8</c:v>
                </c:pt>
                <c:pt idx="56">
                  <c:v>822.4</c:v>
                </c:pt>
                <c:pt idx="57">
                  <c:v>773.4</c:v>
                </c:pt>
                <c:pt idx="58">
                  <c:v>722.8</c:v>
                </c:pt>
                <c:pt idx="59">
                  <c:v>670.8</c:v>
                </c:pt>
                <c:pt idx="60">
                  <c:v>617.5</c:v>
                </c:pt>
                <c:pt idx="61">
                  <c:v>563.20000000000005</c:v>
                </c:pt>
                <c:pt idx="62">
                  <c:v>507.9</c:v>
                </c:pt>
                <c:pt idx="63">
                  <c:v>452</c:v>
                </c:pt>
                <c:pt idx="64">
                  <c:v>395.5</c:v>
                </c:pt>
                <c:pt idx="65">
                  <c:v>339</c:v>
                </c:pt>
                <c:pt idx="66">
                  <c:v>282.7</c:v>
                </c:pt>
                <c:pt idx="67">
                  <c:v>227.1</c:v>
                </c:pt>
                <c:pt idx="68">
                  <c:v>173.2</c:v>
                </c:pt>
                <c:pt idx="69">
                  <c:v>121.9</c:v>
                </c:pt>
                <c:pt idx="70">
                  <c:v>75.099999999999994</c:v>
                </c:pt>
                <c:pt idx="71">
                  <c:v>36</c:v>
                </c:pt>
                <c:pt idx="72">
                  <c:v>9.8000000000000007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B4C3-4962-9F6B-BFA2EEA236C5}"/>
            </c:ext>
          </c:extLst>
        </c:ser>
        <c:ser>
          <c:idx val="3"/>
          <c:order val="3"/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Main_Day1!$J$6:$J$78</c:f>
              <c:numCache>
                <c:formatCode>yyyy/m/d\ h:mm;@</c:formatCode>
                <c:ptCount val="73"/>
                <c:pt idx="0">
                  <c:v>43751.25</c:v>
                </c:pt>
                <c:pt idx="1">
                  <c:v>43751.256944444445</c:v>
                </c:pt>
                <c:pt idx="2">
                  <c:v>43751.263888888891</c:v>
                </c:pt>
                <c:pt idx="3">
                  <c:v>43751.270833333336</c:v>
                </c:pt>
                <c:pt idx="4">
                  <c:v>43751.277777777781</c:v>
                </c:pt>
                <c:pt idx="5">
                  <c:v>43751.284722222219</c:v>
                </c:pt>
                <c:pt idx="6">
                  <c:v>43751.291666666664</c:v>
                </c:pt>
                <c:pt idx="7">
                  <c:v>43751.298611111109</c:v>
                </c:pt>
                <c:pt idx="8">
                  <c:v>43751.305555555555</c:v>
                </c:pt>
                <c:pt idx="9">
                  <c:v>43751.3125</c:v>
                </c:pt>
                <c:pt idx="10">
                  <c:v>43751.319444444445</c:v>
                </c:pt>
                <c:pt idx="11">
                  <c:v>43751.326388888891</c:v>
                </c:pt>
                <c:pt idx="12">
                  <c:v>43751.333333333336</c:v>
                </c:pt>
                <c:pt idx="13">
                  <c:v>43751.340277777781</c:v>
                </c:pt>
                <c:pt idx="14">
                  <c:v>43751.347222222219</c:v>
                </c:pt>
                <c:pt idx="15">
                  <c:v>43751.354166666664</c:v>
                </c:pt>
                <c:pt idx="16">
                  <c:v>43751.361111111109</c:v>
                </c:pt>
                <c:pt idx="17">
                  <c:v>43751.368055555555</c:v>
                </c:pt>
                <c:pt idx="18">
                  <c:v>43751.375</c:v>
                </c:pt>
                <c:pt idx="19">
                  <c:v>43751.381944444445</c:v>
                </c:pt>
                <c:pt idx="20">
                  <c:v>43751.388888888891</c:v>
                </c:pt>
                <c:pt idx="21">
                  <c:v>43751.395833333336</c:v>
                </c:pt>
                <c:pt idx="22">
                  <c:v>43751.402777777781</c:v>
                </c:pt>
                <c:pt idx="23">
                  <c:v>43751.409722222219</c:v>
                </c:pt>
                <c:pt idx="24">
                  <c:v>43751.416666666664</c:v>
                </c:pt>
                <c:pt idx="25">
                  <c:v>43751.423611111109</c:v>
                </c:pt>
                <c:pt idx="26">
                  <c:v>43751.430555555555</c:v>
                </c:pt>
                <c:pt idx="27">
                  <c:v>43751.4375</c:v>
                </c:pt>
                <c:pt idx="28">
                  <c:v>43751.444444444445</c:v>
                </c:pt>
                <c:pt idx="29">
                  <c:v>43751.451388888891</c:v>
                </c:pt>
                <c:pt idx="30">
                  <c:v>43751.458333333336</c:v>
                </c:pt>
                <c:pt idx="31">
                  <c:v>43751.465277777781</c:v>
                </c:pt>
                <c:pt idx="32">
                  <c:v>43751.472222222219</c:v>
                </c:pt>
                <c:pt idx="33">
                  <c:v>43751.479166666664</c:v>
                </c:pt>
                <c:pt idx="34">
                  <c:v>43751.486111111109</c:v>
                </c:pt>
                <c:pt idx="35">
                  <c:v>43751.493055555555</c:v>
                </c:pt>
                <c:pt idx="36">
                  <c:v>43751.5</c:v>
                </c:pt>
                <c:pt idx="37">
                  <c:v>43751.506944444445</c:v>
                </c:pt>
                <c:pt idx="38">
                  <c:v>43751.513888888891</c:v>
                </c:pt>
                <c:pt idx="39">
                  <c:v>43751.520833333336</c:v>
                </c:pt>
                <c:pt idx="40">
                  <c:v>43751.527777777781</c:v>
                </c:pt>
                <c:pt idx="41">
                  <c:v>43751.534722222219</c:v>
                </c:pt>
                <c:pt idx="42">
                  <c:v>43751.541666666664</c:v>
                </c:pt>
                <c:pt idx="43">
                  <c:v>43751.548611111109</c:v>
                </c:pt>
                <c:pt idx="44">
                  <c:v>43751.555555555555</c:v>
                </c:pt>
                <c:pt idx="45">
                  <c:v>43751.5625</c:v>
                </c:pt>
                <c:pt idx="46">
                  <c:v>43751.569444444445</c:v>
                </c:pt>
                <c:pt idx="47">
                  <c:v>43751.576388888891</c:v>
                </c:pt>
                <c:pt idx="48">
                  <c:v>43751.583333333336</c:v>
                </c:pt>
                <c:pt idx="49">
                  <c:v>43751.590277777781</c:v>
                </c:pt>
                <c:pt idx="50">
                  <c:v>43751.597222222219</c:v>
                </c:pt>
                <c:pt idx="51">
                  <c:v>43751.604166666664</c:v>
                </c:pt>
                <c:pt idx="52">
                  <c:v>43751.611111111109</c:v>
                </c:pt>
                <c:pt idx="53">
                  <c:v>43751.618055555555</c:v>
                </c:pt>
                <c:pt idx="54">
                  <c:v>43751.625</c:v>
                </c:pt>
                <c:pt idx="55">
                  <c:v>43751.631944444445</c:v>
                </c:pt>
                <c:pt idx="56">
                  <c:v>43751.638888888891</c:v>
                </c:pt>
                <c:pt idx="57">
                  <c:v>43751.645833333336</c:v>
                </c:pt>
                <c:pt idx="58">
                  <c:v>43751.652777777781</c:v>
                </c:pt>
                <c:pt idx="59">
                  <c:v>43751.659722222219</c:v>
                </c:pt>
                <c:pt idx="60">
                  <c:v>43751.666666666664</c:v>
                </c:pt>
                <c:pt idx="61">
                  <c:v>43751.673611111109</c:v>
                </c:pt>
                <c:pt idx="62">
                  <c:v>43751.680555555555</c:v>
                </c:pt>
                <c:pt idx="63">
                  <c:v>43751.6875</c:v>
                </c:pt>
                <c:pt idx="64">
                  <c:v>43751.694444444445</c:v>
                </c:pt>
                <c:pt idx="65">
                  <c:v>43751.701388888891</c:v>
                </c:pt>
                <c:pt idx="66">
                  <c:v>43751.708333333336</c:v>
                </c:pt>
                <c:pt idx="67">
                  <c:v>43751.715277777781</c:v>
                </c:pt>
                <c:pt idx="68">
                  <c:v>43751.722222222219</c:v>
                </c:pt>
                <c:pt idx="69">
                  <c:v>43751.729166666664</c:v>
                </c:pt>
                <c:pt idx="70">
                  <c:v>43751.736111111109</c:v>
                </c:pt>
                <c:pt idx="71">
                  <c:v>43751.743055555555</c:v>
                </c:pt>
                <c:pt idx="72">
                  <c:v>43751.75</c:v>
                </c:pt>
              </c:numCache>
            </c:numRef>
          </c:xVal>
          <c:yVal>
            <c:numRef>
              <c:f>Main_Day1!$N$6:$N$78</c:f>
              <c:numCache>
                <c:formatCode>General</c:formatCode>
                <c:ptCount val="7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-705.01312277163879</c:v>
                </c:pt>
                <c:pt idx="13">
                  <c:v>-705.01312277163879</c:v>
                </c:pt>
                <c:pt idx="14">
                  <c:v>-705.01312277163879</c:v>
                </c:pt>
                <c:pt idx="15">
                  <c:v>-705.01312277163879</c:v>
                </c:pt>
                <c:pt idx="16">
                  <c:v>-705.01312277163879</c:v>
                </c:pt>
                <c:pt idx="17">
                  <c:v>-705.01312277163879</c:v>
                </c:pt>
                <c:pt idx="18">
                  <c:v>-705.01312277163879</c:v>
                </c:pt>
                <c:pt idx="19">
                  <c:v>-705.01312277163879</c:v>
                </c:pt>
                <c:pt idx="20">
                  <c:v>-705.01312277163879</c:v>
                </c:pt>
                <c:pt idx="21">
                  <c:v>-705.01312277163879</c:v>
                </c:pt>
                <c:pt idx="22">
                  <c:v>-705.01312277163879</c:v>
                </c:pt>
                <c:pt idx="23">
                  <c:v>-705.01312277163879</c:v>
                </c:pt>
                <c:pt idx="24">
                  <c:v>-705.01312277163879</c:v>
                </c:pt>
                <c:pt idx="25">
                  <c:v>-705.01312277163879</c:v>
                </c:pt>
                <c:pt idx="26">
                  <c:v>-705.01312277163879</c:v>
                </c:pt>
                <c:pt idx="27">
                  <c:v>-705.01312277163879</c:v>
                </c:pt>
                <c:pt idx="28">
                  <c:v>-705.01312277163879</c:v>
                </c:pt>
                <c:pt idx="29">
                  <c:v>-705.01312277163879</c:v>
                </c:pt>
                <c:pt idx="30">
                  <c:v>-705.01312277163879</c:v>
                </c:pt>
                <c:pt idx="31">
                  <c:v>-705.01312277163879</c:v>
                </c:pt>
                <c:pt idx="32">
                  <c:v>-705.01312277163879</c:v>
                </c:pt>
                <c:pt idx="33">
                  <c:v>-705.01312277163879</c:v>
                </c:pt>
                <c:pt idx="34">
                  <c:v>-705.01312277163879</c:v>
                </c:pt>
                <c:pt idx="35">
                  <c:v>-705.01312277163879</c:v>
                </c:pt>
                <c:pt idx="36">
                  <c:v>-705.01312277163879</c:v>
                </c:pt>
                <c:pt idx="37">
                  <c:v>-523.6009579884186</c:v>
                </c:pt>
                <c:pt idx="38">
                  <c:v>-523.6009579884186</c:v>
                </c:pt>
                <c:pt idx="39">
                  <c:v>-523.6009579884186</c:v>
                </c:pt>
                <c:pt idx="40">
                  <c:v>-523.6009579884186</c:v>
                </c:pt>
                <c:pt idx="41">
                  <c:v>-523.6009579884186</c:v>
                </c:pt>
                <c:pt idx="42">
                  <c:v>-523.6009579884186</c:v>
                </c:pt>
                <c:pt idx="43">
                  <c:v>-523.6009579884186</c:v>
                </c:pt>
                <c:pt idx="44">
                  <c:v>-523.6009579884186</c:v>
                </c:pt>
                <c:pt idx="45">
                  <c:v>-523.6009579884186</c:v>
                </c:pt>
                <c:pt idx="46">
                  <c:v>-523.6009579884186</c:v>
                </c:pt>
                <c:pt idx="47">
                  <c:v>-523.6009579884186</c:v>
                </c:pt>
                <c:pt idx="48">
                  <c:v>-523.6009579884186</c:v>
                </c:pt>
                <c:pt idx="49">
                  <c:v>-523.6009579884186</c:v>
                </c:pt>
                <c:pt idx="50">
                  <c:v>-523.6009579884186</c:v>
                </c:pt>
                <c:pt idx="51">
                  <c:v>-523.6009579884186</c:v>
                </c:pt>
                <c:pt idx="52">
                  <c:v>-523.6009579884186</c:v>
                </c:pt>
                <c:pt idx="53">
                  <c:v>-523.6009579884186</c:v>
                </c:pt>
                <c:pt idx="54">
                  <c:v>-523.6009579884186</c:v>
                </c:pt>
                <c:pt idx="55">
                  <c:v>-523.6009579884186</c:v>
                </c:pt>
                <c:pt idx="56">
                  <c:v>-523.6009579884186</c:v>
                </c:pt>
                <c:pt idx="57">
                  <c:v>-523.6009579884186</c:v>
                </c:pt>
                <c:pt idx="58">
                  <c:v>-523.6009579884186</c:v>
                </c:pt>
                <c:pt idx="59">
                  <c:v>-523.6009579884186</c:v>
                </c:pt>
                <c:pt idx="60">
                  <c:v>-523.6009579884186</c:v>
                </c:pt>
                <c:pt idx="61">
                  <c:v>-523.6009579884186</c:v>
                </c:pt>
                <c:pt idx="62">
                  <c:v>-523.6009579884186</c:v>
                </c:pt>
                <c:pt idx="63">
                  <c:v>-523.6009579884186</c:v>
                </c:pt>
                <c:pt idx="64">
                  <c:v>-523.6009579884186</c:v>
                </c:pt>
                <c:pt idx="65">
                  <c:v>-523.6009579884186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B4C3-4962-9F6B-BFA2EEA236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6416720"/>
        <c:axId val="508779760"/>
      </c:scatterChart>
      <c:valAx>
        <c:axId val="57641672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yyyy/m/d\ h: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08779760"/>
        <c:crosses val="autoZero"/>
        <c:crossBetween val="midCat"/>
      </c:valAx>
      <c:valAx>
        <c:axId val="5087797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641672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ja-JP" sz="1800"/>
              <a:t>P-t</a:t>
            </a:r>
            <a:r>
              <a:rPr lang="ja-JP" altLang="en-US" sz="1800"/>
              <a:t>図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>
        <c:manualLayout>
          <c:layoutTarget val="inner"/>
          <c:xMode val="edge"/>
          <c:yMode val="edge"/>
          <c:x val="7.4786669858205951E-2"/>
          <c:y val="0.16533333333333333"/>
          <c:w val="0.8789691415717652"/>
          <c:h val="0.74243790578809232"/>
        </c:manualLayout>
      </c:layout>
      <c:scatterChart>
        <c:scatterStyle val="lineMarker"/>
        <c:varyColors val="0"/>
        <c:ser>
          <c:idx val="1"/>
          <c:order val="1"/>
          <c:tx>
            <c:strRef>
              <c:f>Main_Day1!$L$5</c:f>
              <c:strCache>
                <c:ptCount val="1"/>
                <c:pt idx="0">
                  <c:v>PB[W]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Main_Day1!$J$6:$J$78</c:f>
              <c:numCache>
                <c:formatCode>yyyy/m/d\ h:mm;@</c:formatCode>
                <c:ptCount val="73"/>
                <c:pt idx="0">
                  <c:v>43751.25</c:v>
                </c:pt>
                <c:pt idx="1">
                  <c:v>43751.256944444445</c:v>
                </c:pt>
                <c:pt idx="2">
                  <c:v>43751.263888888891</c:v>
                </c:pt>
                <c:pt idx="3">
                  <c:v>43751.270833333336</c:v>
                </c:pt>
                <c:pt idx="4">
                  <c:v>43751.277777777781</c:v>
                </c:pt>
                <c:pt idx="5">
                  <c:v>43751.284722222219</c:v>
                </c:pt>
                <c:pt idx="6">
                  <c:v>43751.291666666664</c:v>
                </c:pt>
                <c:pt idx="7">
                  <c:v>43751.298611111109</c:v>
                </c:pt>
                <c:pt idx="8">
                  <c:v>43751.305555555555</c:v>
                </c:pt>
                <c:pt idx="9">
                  <c:v>43751.3125</c:v>
                </c:pt>
                <c:pt idx="10">
                  <c:v>43751.319444444445</c:v>
                </c:pt>
                <c:pt idx="11">
                  <c:v>43751.326388888891</c:v>
                </c:pt>
                <c:pt idx="12">
                  <c:v>43751.333333333336</c:v>
                </c:pt>
                <c:pt idx="13">
                  <c:v>43751.340277777781</c:v>
                </c:pt>
                <c:pt idx="14">
                  <c:v>43751.347222222219</c:v>
                </c:pt>
                <c:pt idx="15">
                  <c:v>43751.354166666664</c:v>
                </c:pt>
                <c:pt idx="16">
                  <c:v>43751.361111111109</c:v>
                </c:pt>
                <c:pt idx="17">
                  <c:v>43751.368055555555</c:v>
                </c:pt>
                <c:pt idx="18">
                  <c:v>43751.375</c:v>
                </c:pt>
                <c:pt idx="19">
                  <c:v>43751.381944444445</c:v>
                </c:pt>
                <c:pt idx="20">
                  <c:v>43751.388888888891</c:v>
                </c:pt>
                <c:pt idx="21">
                  <c:v>43751.395833333336</c:v>
                </c:pt>
                <c:pt idx="22">
                  <c:v>43751.402777777781</c:v>
                </c:pt>
                <c:pt idx="23">
                  <c:v>43751.409722222219</c:v>
                </c:pt>
                <c:pt idx="24">
                  <c:v>43751.416666666664</c:v>
                </c:pt>
                <c:pt idx="25">
                  <c:v>43751.423611111109</c:v>
                </c:pt>
                <c:pt idx="26">
                  <c:v>43751.430555555555</c:v>
                </c:pt>
                <c:pt idx="27">
                  <c:v>43751.4375</c:v>
                </c:pt>
                <c:pt idx="28">
                  <c:v>43751.444444444445</c:v>
                </c:pt>
                <c:pt idx="29">
                  <c:v>43751.451388888891</c:v>
                </c:pt>
                <c:pt idx="30">
                  <c:v>43751.458333333336</c:v>
                </c:pt>
                <c:pt idx="31">
                  <c:v>43751.465277777781</c:v>
                </c:pt>
                <c:pt idx="32">
                  <c:v>43751.472222222219</c:v>
                </c:pt>
                <c:pt idx="33">
                  <c:v>43751.479166666664</c:v>
                </c:pt>
                <c:pt idx="34">
                  <c:v>43751.486111111109</c:v>
                </c:pt>
                <c:pt idx="35">
                  <c:v>43751.493055555555</c:v>
                </c:pt>
                <c:pt idx="36">
                  <c:v>43751.5</c:v>
                </c:pt>
                <c:pt idx="37">
                  <c:v>43751.506944444445</c:v>
                </c:pt>
                <c:pt idx="38">
                  <c:v>43751.513888888891</c:v>
                </c:pt>
                <c:pt idx="39">
                  <c:v>43751.520833333336</c:v>
                </c:pt>
                <c:pt idx="40">
                  <c:v>43751.527777777781</c:v>
                </c:pt>
                <c:pt idx="41">
                  <c:v>43751.534722222219</c:v>
                </c:pt>
                <c:pt idx="42">
                  <c:v>43751.541666666664</c:v>
                </c:pt>
                <c:pt idx="43">
                  <c:v>43751.548611111109</c:v>
                </c:pt>
                <c:pt idx="44">
                  <c:v>43751.555555555555</c:v>
                </c:pt>
                <c:pt idx="45">
                  <c:v>43751.5625</c:v>
                </c:pt>
                <c:pt idx="46">
                  <c:v>43751.569444444445</c:v>
                </c:pt>
                <c:pt idx="47">
                  <c:v>43751.576388888891</c:v>
                </c:pt>
                <c:pt idx="48">
                  <c:v>43751.583333333336</c:v>
                </c:pt>
                <c:pt idx="49">
                  <c:v>43751.590277777781</c:v>
                </c:pt>
                <c:pt idx="50">
                  <c:v>43751.597222222219</c:v>
                </c:pt>
                <c:pt idx="51">
                  <c:v>43751.604166666664</c:v>
                </c:pt>
                <c:pt idx="52">
                  <c:v>43751.611111111109</c:v>
                </c:pt>
                <c:pt idx="53">
                  <c:v>43751.618055555555</c:v>
                </c:pt>
                <c:pt idx="54">
                  <c:v>43751.625</c:v>
                </c:pt>
                <c:pt idx="55">
                  <c:v>43751.631944444445</c:v>
                </c:pt>
                <c:pt idx="56">
                  <c:v>43751.638888888891</c:v>
                </c:pt>
                <c:pt idx="57">
                  <c:v>43751.645833333336</c:v>
                </c:pt>
                <c:pt idx="58">
                  <c:v>43751.652777777781</c:v>
                </c:pt>
                <c:pt idx="59">
                  <c:v>43751.659722222219</c:v>
                </c:pt>
                <c:pt idx="60">
                  <c:v>43751.666666666664</c:v>
                </c:pt>
                <c:pt idx="61">
                  <c:v>43751.673611111109</c:v>
                </c:pt>
                <c:pt idx="62">
                  <c:v>43751.680555555555</c:v>
                </c:pt>
                <c:pt idx="63">
                  <c:v>43751.6875</c:v>
                </c:pt>
                <c:pt idx="64">
                  <c:v>43751.694444444445</c:v>
                </c:pt>
                <c:pt idx="65">
                  <c:v>43751.701388888891</c:v>
                </c:pt>
                <c:pt idx="66">
                  <c:v>43751.708333333336</c:v>
                </c:pt>
                <c:pt idx="67">
                  <c:v>43751.715277777781</c:v>
                </c:pt>
                <c:pt idx="68">
                  <c:v>43751.722222222219</c:v>
                </c:pt>
                <c:pt idx="69">
                  <c:v>43751.729166666664</c:v>
                </c:pt>
                <c:pt idx="70">
                  <c:v>43751.736111111109</c:v>
                </c:pt>
                <c:pt idx="71">
                  <c:v>43751.743055555555</c:v>
                </c:pt>
                <c:pt idx="72">
                  <c:v>43751.75</c:v>
                </c:pt>
              </c:numCache>
            </c:numRef>
          </c:xVal>
          <c:yVal>
            <c:numRef>
              <c:f>Main_Day1!$L$6:$L$78</c:f>
              <c:numCache>
                <c:formatCode>General</c:formatCode>
                <c:ptCount val="73"/>
                <c:pt idx="0">
                  <c:v>4.9000000000000004</c:v>
                </c:pt>
                <c:pt idx="1">
                  <c:v>18</c:v>
                </c:pt>
                <c:pt idx="2">
                  <c:v>37.549999999999997</c:v>
                </c:pt>
                <c:pt idx="3">
                  <c:v>60.9</c:v>
                </c:pt>
                <c:pt idx="4">
                  <c:v>86.55</c:v>
                </c:pt>
                <c:pt idx="5">
                  <c:v>113.55</c:v>
                </c:pt>
                <c:pt idx="6">
                  <c:v>141.30000000000001</c:v>
                </c:pt>
                <c:pt idx="7">
                  <c:v>169.45</c:v>
                </c:pt>
                <c:pt idx="8">
                  <c:v>197.75</c:v>
                </c:pt>
                <c:pt idx="9">
                  <c:v>225.95</c:v>
                </c:pt>
                <c:pt idx="10">
                  <c:v>253.95</c:v>
                </c:pt>
                <c:pt idx="11">
                  <c:v>281.55</c:v>
                </c:pt>
                <c:pt idx="12">
                  <c:v>-396.26312277163879</c:v>
                </c:pt>
                <c:pt idx="13">
                  <c:v>-369.66312277163877</c:v>
                </c:pt>
                <c:pt idx="14">
                  <c:v>-343.66312277163877</c:v>
                </c:pt>
                <c:pt idx="15">
                  <c:v>-318.36312277163881</c:v>
                </c:pt>
                <c:pt idx="16">
                  <c:v>-293.8131227716388</c:v>
                </c:pt>
                <c:pt idx="17">
                  <c:v>-270.11312277163881</c:v>
                </c:pt>
                <c:pt idx="18">
                  <c:v>-247.3131227716388</c:v>
                </c:pt>
                <c:pt idx="19">
                  <c:v>-225.46312277163878</c:v>
                </c:pt>
                <c:pt idx="20">
                  <c:v>-204.5631227716388</c:v>
                </c:pt>
                <c:pt idx="21">
                  <c:v>-184.76312277163879</c:v>
                </c:pt>
                <c:pt idx="22">
                  <c:v>-165.96312277163884</c:v>
                </c:pt>
                <c:pt idx="23">
                  <c:v>-148.31312277163875</c:v>
                </c:pt>
                <c:pt idx="24">
                  <c:v>-131.86312277163881</c:v>
                </c:pt>
                <c:pt idx="25">
                  <c:v>-116.56312277163875</c:v>
                </c:pt>
                <c:pt idx="26">
                  <c:v>-102.51312277163879</c:v>
                </c:pt>
                <c:pt idx="27">
                  <c:v>-89.663122771638768</c:v>
                </c:pt>
                <c:pt idx="28">
                  <c:v>-78.113122771638814</c:v>
                </c:pt>
                <c:pt idx="29">
                  <c:v>-67.913122771638768</c:v>
                </c:pt>
                <c:pt idx="30">
                  <c:v>-58.963122771638837</c:v>
                </c:pt>
                <c:pt idx="31">
                  <c:v>-51.413122771638768</c:v>
                </c:pt>
                <c:pt idx="32">
                  <c:v>-45.213122771638837</c:v>
                </c:pt>
                <c:pt idx="33">
                  <c:v>-40.363122771638814</c:v>
                </c:pt>
                <c:pt idx="34">
                  <c:v>-36.863122771638814</c:v>
                </c:pt>
                <c:pt idx="35">
                  <c:v>-34.763122771638791</c:v>
                </c:pt>
                <c:pt idx="36">
                  <c:v>-34.113122771638814</c:v>
                </c:pt>
                <c:pt idx="37">
                  <c:v>816.8990420115814</c:v>
                </c:pt>
                <c:pt idx="38">
                  <c:v>812.69904201158135</c:v>
                </c:pt>
                <c:pt idx="39">
                  <c:v>805.69904201158135</c:v>
                </c:pt>
                <c:pt idx="40">
                  <c:v>796.09904201158145</c:v>
                </c:pt>
                <c:pt idx="41">
                  <c:v>783.59904201158145</c:v>
                </c:pt>
                <c:pt idx="42">
                  <c:v>768.49904201158131</c:v>
                </c:pt>
                <c:pt idx="43">
                  <c:v>750.69904201158135</c:v>
                </c:pt>
                <c:pt idx="44">
                  <c:v>730.19904201158135</c:v>
                </c:pt>
                <c:pt idx="45">
                  <c:v>707.09904201158145</c:v>
                </c:pt>
                <c:pt idx="46">
                  <c:v>681.49904201158131</c:v>
                </c:pt>
                <c:pt idx="47">
                  <c:v>653.29904201158149</c:v>
                </c:pt>
                <c:pt idx="48">
                  <c:v>622.79904201158149</c:v>
                </c:pt>
                <c:pt idx="49">
                  <c:v>589.79904201158149</c:v>
                </c:pt>
                <c:pt idx="50">
                  <c:v>554.49904201158131</c:v>
                </c:pt>
                <c:pt idx="51">
                  <c:v>516.99904201158131</c:v>
                </c:pt>
                <c:pt idx="52">
                  <c:v>477.29904201158138</c:v>
                </c:pt>
                <c:pt idx="53">
                  <c:v>435.49904201158142</c:v>
                </c:pt>
                <c:pt idx="54">
                  <c:v>391.79904201158138</c:v>
                </c:pt>
                <c:pt idx="55">
                  <c:v>346.19904201158135</c:v>
                </c:pt>
                <c:pt idx="56">
                  <c:v>298.79904201158138</c:v>
                </c:pt>
                <c:pt idx="57">
                  <c:v>249.79904201158138</c:v>
                </c:pt>
                <c:pt idx="58">
                  <c:v>199.19904201158135</c:v>
                </c:pt>
                <c:pt idx="59">
                  <c:v>147.19904201158135</c:v>
                </c:pt>
                <c:pt idx="60">
                  <c:v>93.8990420115814</c:v>
                </c:pt>
                <c:pt idx="61">
                  <c:v>39.599042011581446</c:v>
                </c:pt>
                <c:pt idx="62">
                  <c:v>-15.700957988418622</c:v>
                </c:pt>
                <c:pt idx="63">
                  <c:v>-71.6009579884186</c:v>
                </c:pt>
                <c:pt idx="64">
                  <c:v>-128.1009579884186</c:v>
                </c:pt>
                <c:pt idx="65">
                  <c:v>-184.6009579884186</c:v>
                </c:pt>
                <c:pt idx="66">
                  <c:v>282.7</c:v>
                </c:pt>
                <c:pt idx="67">
                  <c:v>227.1</c:v>
                </c:pt>
                <c:pt idx="68">
                  <c:v>173.2</c:v>
                </c:pt>
                <c:pt idx="69">
                  <c:v>121.9</c:v>
                </c:pt>
                <c:pt idx="70">
                  <c:v>75.099999999999994</c:v>
                </c:pt>
                <c:pt idx="71">
                  <c:v>36</c:v>
                </c:pt>
                <c:pt idx="72">
                  <c:v>9.8000000000000007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CD2-4880-893C-9D71E3250759}"/>
            </c:ext>
          </c:extLst>
        </c:ser>
        <c:ser>
          <c:idx val="2"/>
          <c:order val="2"/>
          <c:tx>
            <c:strRef>
              <c:f>Main_Day1!$M$5</c:f>
              <c:strCache>
                <c:ptCount val="1"/>
                <c:pt idx="0">
                  <c:v>Ps[W]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Main_Day1!$J$6:$J$78</c:f>
              <c:numCache>
                <c:formatCode>yyyy/m/d\ h:mm;@</c:formatCode>
                <c:ptCount val="73"/>
                <c:pt idx="0">
                  <c:v>43751.25</c:v>
                </c:pt>
                <c:pt idx="1">
                  <c:v>43751.256944444445</c:v>
                </c:pt>
                <c:pt idx="2">
                  <c:v>43751.263888888891</c:v>
                </c:pt>
                <c:pt idx="3">
                  <c:v>43751.270833333336</c:v>
                </c:pt>
                <c:pt idx="4">
                  <c:v>43751.277777777781</c:v>
                </c:pt>
                <c:pt idx="5">
                  <c:v>43751.284722222219</c:v>
                </c:pt>
                <c:pt idx="6">
                  <c:v>43751.291666666664</c:v>
                </c:pt>
                <c:pt idx="7">
                  <c:v>43751.298611111109</c:v>
                </c:pt>
                <c:pt idx="8">
                  <c:v>43751.305555555555</c:v>
                </c:pt>
                <c:pt idx="9">
                  <c:v>43751.3125</c:v>
                </c:pt>
                <c:pt idx="10">
                  <c:v>43751.319444444445</c:v>
                </c:pt>
                <c:pt idx="11">
                  <c:v>43751.326388888891</c:v>
                </c:pt>
                <c:pt idx="12">
                  <c:v>43751.333333333336</c:v>
                </c:pt>
                <c:pt idx="13">
                  <c:v>43751.340277777781</c:v>
                </c:pt>
                <c:pt idx="14">
                  <c:v>43751.347222222219</c:v>
                </c:pt>
                <c:pt idx="15">
                  <c:v>43751.354166666664</c:v>
                </c:pt>
                <c:pt idx="16">
                  <c:v>43751.361111111109</c:v>
                </c:pt>
                <c:pt idx="17">
                  <c:v>43751.368055555555</c:v>
                </c:pt>
                <c:pt idx="18">
                  <c:v>43751.375</c:v>
                </c:pt>
                <c:pt idx="19">
                  <c:v>43751.381944444445</c:v>
                </c:pt>
                <c:pt idx="20">
                  <c:v>43751.388888888891</c:v>
                </c:pt>
                <c:pt idx="21">
                  <c:v>43751.395833333336</c:v>
                </c:pt>
                <c:pt idx="22">
                  <c:v>43751.402777777781</c:v>
                </c:pt>
                <c:pt idx="23">
                  <c:v>43751.409722222219</c:v>
                </c:pt>
                <c:pt idx="24">
                  <c:v>43751.416666666664</c:v>
                </c:pt>
                <c:pt idx="25">
                  <c:v>43751.423611111109</c:v>
                </c:pt>
                <c:pt idx="26">
                  <c:v>43751.430555555555</c:v>
                </c:pt>
                <c:pt idx="27">
                  <c:v>43751.4375</c:v>
                </c:pt>
                <c:pt idx="28">
                  <c:v>43751.444444444445</c:v>
                </c:pt>
                <c:pt idx="29">
                  <c:v>43751.451388888891</c:v>
                </c:pt>
                <c:pt idx="30">
                  <c:v>43751.458333333336</c:v>
                </c:pt>
                <c:pt idx="31">
                  <c:v>43751.465277777781</c:v>
                </c:pt>
                <c:pt idx="32">
                  <c:v>43751.472222222219</c:v>
                </c:pt>
                <c:pt idx="33">
                  <c:v>43751.479166666664</c:v>
                </c:pt>
                <c:pt idx="34">
                  <c:v>43751.486111111109</c:v>
                </c:pt>
                <c:pt idx="35">
                  <c:v>43751.493055555555</c:v>
                </c:pt>
                <c:pt idx="36">
                  <c:v>43751.5</c:v>
                </c:pt>
                <c:pt idx="37">
                  <c:v>43751.506944444445</c:v>
                </c:pt>
                <c:pt idx="38">
                  <c:v>43751.513888888891</c:v>
                </c:pt>
                <c:pt idx="39">
                  <c:v>43751.520833333336</c:v>
                </c:pt>
                <c:pt idx="40">
                  <c:v>43751.527777777781</c:v>
                </c:pt>
                <c:pt idx="41">
                  <c:v>43751.534722222219</c:v>
                </c:pt>
                <c:pt idx="42">
                  <c:v>43751.541666666664</c:v>
                </c:pt>
                <c:pt idx="43">
                  <c:v>43751.548611111109</c:v>
                </c:pt>
                <c:pt idx="44">
                  <c:v>43751.555555555555</c:v>
                </c:pt>
                <c:pt idx="45">
                  <c:v>43751.5625</c:v>
                </c:pt>
                <c:pt idx="46">
                  <c:v>43751.569444444445</c:v>
                </c:pt>
                <c:pt idx="47">
                  <c:v>43751.576388888891</c:v>
                </c:pt>
                <c:pt idx="48">
                  <c:v>43751.583333333336</c:v>
                </c:pt>
                <c:pt idx="49">
                  <c:v>43751.590277777781</c:v>
                </c:pt>
                <c:pt idx="50">
                  <c:v>43751.597222222219</c:v>
                </c:pt>
                <c:pt idx="51">
                  <c:v>43751.604166666664</c:v>
                </c:pt>
                <c:pt idx="52">
                  <c:v>43751.611111111109</c:v>
                </c:pt>
                <c:pt idx="53">
                  <c:v>43751.618055555555</c:v>
                </c:pt>
                <c:pt idx="54">
                  <c:v>43751.625</c:v>
                </c:pt>
                <c:pt idx="55">
                  <c:v>43751.631944444445</c:v>
                </c:pt>
                <c:pt idx="56">
                  <c:v>43751.638888888891</c:v>
                </c:pt>
                <c:pt idx="57">
                  <c:v>43751.645833333336</c:v>
                </c:pt>
                <c:pt idx="58">
                  <c:v>43751.652777777781</c:v>
                </c:pt>
                <c:pt idx="59">
                  <c:v>43751.659722222219</c:v>
                </c:pt>
                <c:pt idx="60">
                  <c:v>43751.666666666664</c:v>
                </c:pt>
                <c:pt idx="61">
                  <c:v>43751.673611111109</c:v>
                </c:pt>
                <c:pt idx="62">
                  <c:v>43751.680555555555</c:v>
                </c:pt>
                <c:pt idx="63">
                  <c:v>43751.6875</c:v>
                </c:pt>
                <c:pt idx="64">
                  <c:v>43751.694444444445</c:v>
                </c:pt>
                <c:pt idx="65">
                  <c:v>43751.701388888891</c:v>
                </c:pt>
                <c:pt idx="66">
                  <c:v>43751.708333333336</c:v>
                </c:pt>
                <c:pt idx="67">
                  <c:v>43751.715277777781</c:v>
                </c:pt>
                <c:pt idx="68">
                  <c:v>43751.722222222219</c:v>
                </c:pt>
                <c:pt idx="69">
                  <c:v>43751.729166666664</c:v>
                </c:pt>
                <c:pt idx="70">
                  <c:v>43751.736111111109</c:v>
                </c:pt>
                <c:pt idx="71">
                  <c:v>43751.743055555555</c:v>
                </c:pt>
                <c:pt idx="72">
                  <c:v>43751.75</c:v>
                </c:pt>
              </c:numCache>
            </c:numRef>
          </c:xVal>
          <c:yVal>
            <c:numRef>
              <c:f>Main_Day1!$M$6:$M$78</c:f>
              <c:numCache>
                <c:formatCode>General</c:formatCode>
                <c:ptCount val="73"/>
                <c:pt idx="0">
                  <c:v>4.9000000000000004</c:v>
                </c:pt>
                <c:pt idx="1">
                  <c:v>18</c:v>
                </c:pt>
                <c:pt idx="2">
                  <c:v>37.549999999999997</c:v>
                </c:pt>
                <c:pt idx="3">
                  <c:v>60.9</c:v>
                </c:pt>
                <c:pt idx="4">
                  <c:v>86.55</c:v>
                </c:pt>
                <c:pt idx="5">
                  <c:v>113.55</c:v>
                </c:pt>
                <c:pt idx="6">
                  <c:v>141.30000000000001</c:v>
                </c:pt>
                <c:pt idx="7">
                  <c:v>169.45</c:v>
                </c:pt>
                <c:pt idx="8">
                  <c:v>197.75</c:v>
                </c:pt>
                <c:pt idx="9">
                  <c:v>225.95</c:v>
                </c:pt>
                <c:pt idx="10">
                  <c:v>253.95</c:v>
                </c:pt>
                <c:pt idx="11">
                  <c:v>281.55</c:v>
                </c:pt>
                <c:pt idx="12">
                  <c:v>308.75</c:v>
                </c:pt>
                <c:pt idx="13">
                  <c:v>335.35</c:v>
                </c:pt>
                <c:pt idx="14">
                  <c:v>361.35</c:v>
                </c:pt>
                <c:pt idx="15">
                  <c:v>386.65</c:v>
                </c:pt>
                <c:pt idx="16">
                  <c:v>411.2</c:v>
                </c:pt>
                <c:pt idx="17">
                  <c:v>434.9</c:v>
                </c:pt>
                <c:pt idx="18">
                  <c:v>457.7</c:v>
                </c:pt>
                <c:pt idx="19">
                  <c:v>479.55</c:v>
                </c:pt>
                <c:pt idx="20">
                  <c:v>500.45</c:v>
                </c:pt>
                <c:pt idx="21">
                  <c:v>520.25</c:v>
                </c:pt>
                <c:pt idx="22">
                  <c:v>539.04999999999995</c:v>
                </c:pt>
                <c:pt idx="23">
                  <c:v>556.70000000000005</c:v>
                </c:pt>
                <c:pt idx="24">
                  <c:v>573.15</c:v>
                </c:pt>
                <c:pt idx="25">
                  <c:v>588.45000000000005</c:v>
                </c:pt>
                <c:pt idx="26">
                  <c:v>602.5</c:v>
                </c:pt>
                <c:pt idx="27">
                  <c:v>615.35</c:v>
                </c:pt>
                <c:pt idx="28">
                  <c:v>626.9</c:v>
                </c:pt>
                <c:pt idx="29">
                  <c:v>637.1</c:v>
                </c:pt>
                <c:pt idx="30">
                  <c:v>646.04999999999995</c:v>
                </c:pt>
                <c:pt idx="31">
                  <c:v>653.6</c:v>
                </c:pt>
                <c:pt idx="32">
                  <c:v>659.8</c:v>
                </c:pt>
                <c:pt idx="33">
                  <c:v>664.65</c:v>
                </c:pt>
                <c:pt idx="34">
                  <c:v>668.15</c:v>
                </c:pt>
                <c:pt idx="35">
                  <c:v>670.25</c:v>
                </c:pt>
                <c:pt idx="36">
                  <c:v>670.9</c:v>
                </c:pt>
                <c:pt idx="37">
                  <c:v>1340.5</c:v>
                </c:pt>
                <c:pt idx="38">
                  <c:v>1336.3</c:v>
                </c:pt>
                <c:pt idx="39">
                  <c:v>1329.3</c:v>
                </c:pt>
                <c:pt idx="40">
                  <c:v>1319.7</c:v>
                </c:pt>
                <c:pt idx="41">
                  <c:v>1307.2</c:v>
                </c:pt>
                <c:pt idx="42">
                  <c:v>1292.0999999999999</c:v>
                </c:pt>
                <c:pt idx="43">
                  <c:v>1274.3</c:v>
                </c:pt>
                <c:pt idx="44">
                  <c:v>1253.8</c:v>
                </c:pt>
                <c:pt idx="45">
                  <c:v>1230.7</c:v>
                </c:pt>
                <c:pt idx="46">
                  <c:v>1205.0999999999999</c:v>
                </c:pt>
                <c:pt idx="47">
                  <c:v>1176.9000000000001</c:v>
                </c:pt>
                <c:pt idx="48">
                  <c:v>1146.4000000000001</c:v>
                </c:pt>
                <c:pt idx="49">
                  <c:v>1113.4000000000001</c:v>
                </c:pt>
                <c:pt idx="50">
                  <c:v>1078.0999999999999</c:v>
                </c:pt>
                <c:pt idx="51">
                  <c:v>1040.5999999999999</c:v>
                </c:pt>
                <c:pt idx="52">
                  <c:v>1000.9</c:v>
                </c:pt>
                <c:pt idx="53">
                  <c:v>959.1</c:v>
                </c:pt>
                <c:pt idx="54">
                  <c:v>915.4</c:v>
                </c:pt>
                <c:pt idx="55">
                  <c:v>869.8</c:v>
                </c:pt>
                <c:pt idx="56">
                  <c:v>822.4</c:v>
                </c:pt>
                <c:pt idx="57">
                  <c:v>773.4</c:v>
                </c:pt>
                <c:pt idx="58">
                  <c:v>722.8</c:v>
                </c:pt>
                <c:pt idx="59">
                  <c:v>670.8</c:v>
                </c:pt>
                <c:pt idx="60">
                  <c:v>617.5</c:v>
                </c:pt>
                <c:pt idx="61">
                  <c:v>563.20000000000005</c:v>
                </c:pt>
                <c:pt idx="62">
                  <c:v>507.9</c:v>
                </c:pt>
                <c:pt idx="63">
                  <c:v>452</c:v>
                </c:pt>
                <c:pt idx="64">
                  <c:v>395.5</c:v>
                </c:pt>
                <c:pt idx="65">
                  <c:v>339</c:v>
                </c:pt>
                <c:pt idx="66">
                  <c:v>282.7</c:v>
                </c:pt>
                <c:pt idx="67">
                  <c:v>227.1</c:v>
                </c:pt>
                <c:pt idx="68">
                  <c:v>173.2</c:v>
                </c:pt>
                <c:pt idx="69">
                  <c:v>121.9</c:v>
                </c:pt>
                <c:pt idx="70">
                  <c:v>75.099999999999994</c:v>
                </c:pt>
                <c:pt idx="71">
                  <c:v>36</c:v>
                </c:pt>
                <c:pt idx="72">
                  <c:v>9.8000000000000007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3CD2-4880-893C-9D71E3250759}"/>
            </c:ext>
          </c:extLst>
        </c:ser>
        <c:ser>
          <c:idx val="3"/>
          <c:order val="3"/>
          <c:tx>
            <c:strRef>
              <c:f>Main_Day1!$N$5</c:f>
              <c:strCache>
                <c:ptCount val="1"/>
                <c:pt idx="0">
                  <c:v>PM[W]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Main_Day1!$J$6:$J$78</c:f>
              <c:numCache>
                <c:formatCode>yyyy/m/d\ h:mm;@</c:formatCode>
                <c:ptCount val="73"/>
                <c:pt idx="0">
                  <c:v>43751.25</c:v>
                </c:pt>
                <c:pt idx="1">
                  <c:v>43751.256944444445</c:v>
                </c:pt>
                <c:pt idx="2">
                  <c:v>43751.263888888891</c:v>
                </c:pt>
                <c:pt idx="3">
                  <c:v>43751.270833333336</c:v>
                </c:pt>
                <c:pt idx="4">
                  <c:v>43751.277777777781</c:v>
                </c:pt>
                <c:pt idx="5">
                  <c:v>43751.284722222219</c:v>
                </c:pt>
                <c:pt idx="6">
                  <c:v>43751.291666666664</c:v>
                </c:pt>
                <c:pt idx="7">
                  <c:v>43751.298611111109</c:v>
                </c:pt>
                <c:pt idx="8">
                  <c:v>43751.305555555555</c:v>
                </c:pt>
                <c:pt idx="9">
                  <c:v>43751.3125</c:v>
                </c:pt>
                <c:pt idx="10">
                  <c:v>43751.319444444445</c:v>
                </c:pt>
                <c:pt idx="11">
                  <c:v>43751.326388888891</c:v>
                </c:pt>
                <c:pt idx="12">
                  <c:v>43751.333333333336</c:v>
                </c:pt>
                <c:pt idx="13">
                  <c:v>43751.340277777781</c:v>
                </c:pt>
                <c:pt idx="14">
                  <c:v>43751.347222222219</c:v>
                </c:pt>
                <c:pt idx="15">
                  <c:v>43751.354166666664</c:v>
                </c:pt>
                <c:pt idx="16">
                  <c:v>43751.361111111109</c:v>
                </c:pt>
                <c:pt idx="17">
                  <c:v>43751.368055555555</c:v>
                </c:pt>
                <c:pt idx="18">
                  <c:v>43751.375</c:v>
                </c:pt>
                <c:pt idx="19">
                  <c:v>43751.381944444445</c:v>
                </c:pt>
                <c:pt idx="20">
                  <c:v>43751.388888888891</c:v>
                </c:pt>
                <c:pt idx="21">
                  <c:v>43751.395833333336</c:v>
                </c:pt>
                <c:pt idx="22">
                  <c:v>43751.402777777781</c:v>
                </c:pt>
                <c:pt idx="23">
                  <c:v>43751.409722222219</c:v>
                </c:pt>
                <c:pt idx="24">
                  <c:v>43751.416666666664</c:v>
                </c:pt>
                <c:pt idx="25">
                  <c:v>43751.423611111109</c:v>
                </c:pt>
                <c:pt idx="26">
                  <c:v>43751.430555555555</c:v>
                </c:pt>
                <c:pt idx="27">
                  <c:v>43751.4375</c:v>
                </c:pt>
                <c:pt idx="28">
                  <c:v>43751.444444444445</c:v>
                </c:pt>
                <c:pt idx="29">
                  <c:v>43751.451388888891</c:v>
                </c:pt>
                <c:pt idx="30">
                  <c:v>43751.458333333336</c:v>
                </c:pt>
                <c:pt idx="31">
                  <c:v>43751.465277777781</c:v>
                </c:pt>
                <c:pt idx="32">
                  <c:v>43751.472222222219</c:v>
                </c:pt>
                <c:pt idx="33">
                  <c:v>43751.479166666664</c:v>
                </c:pt>
                <c:pt idx="34">
                  <c:v>43751.486111111109</c:v>
                </c:pt>
                <c:pt idx="35">
                  <c:v>43751.493055555555</c:v>
                </c:pt>
                <c:pt idx="36">
                  <c:v>43751.5</c:v>
                </c:pt>
                <c:pt idx="37">
                  <c:v>43751.506944444445</c:v>
                </c:pt>
                <c:pt idx="38">
                  <c:v>43751.513888888891</c:v>
                </c:pt>
                <c:pt idx="39">
                  <c:v>43751.520833333336</c:v>
                </c:pt>
                <c:pt idx="40">
                  <c:v>43751.527777777781</c:v>
                </c:pt>
                <c:pt idx="41">
                  <c:v>43751.534722222219</c:v>
                </c:pt>
                <c:pt idx="42">
                  <c:v>43751.541666666664</c:v>
                </c:pt>
                <c:pt idx="43">
                  <c:v>43751.548611111109</c:v>
                </c:pt>
                <c:pt idx="44">
                  <c:v>43751.555555555555</c:v>
                </c:pt>
                <c:pt idx="45">
                  <c:v>43751.5625</c:v>
                </c:pt>
                <c:pt idx="46">
                  <c:v>43751.569444444445</c:v>
                </c:pt>
                <c:pt idx="47">
                  <c:v>43751.576388888891</c:v>
                </c:pt>
                <c:pt idx="48">
                  <c:v>43751.583333333336</c:v>
                </c:pt>
                <c:pt idx="49">
                  <c:v>43751.590277777781</c:v>
                </c:pt>
                <c:pt idx="50">
                  <c:v>43751.597222222219</c:v>
                </c:pt>
                <c:pt idx="51">
                  <c:v>43751.604166666664</c:v>
                </c:pt>
                <c:pt idx="52">
                  <c:v>43751.611111111109</c:v>
                </c:pt>
                <c:pt idx="53">
                  <c:v>43751.618055555555</c:v>
                </c:pt>
                <c:pt idx="54">
                  <c:v>43751.625</c:v>
                </c:pt>
                <c:pt idx="55">
                  <c:v>43751.631944444445</c:v>
                </c:pt>
                <c:pt idx="56">
                  <c:v>43751.638888888891</c:v>
                </c:pt>
                <c:pt idx="57">
                  <c:v>43751.645833333336</c:v>
                </c:pt>
                <c:pt idx="58">
                  <c:v>43751.652777777781</c:v>
                </c:pt>
                <c:pt idx="59">
                  <c:v>43751.659722222219</c:v>
                </c:pt>
                <c:pt idx="60">
                  <c:v>43751.666666666664</c:v>
                </c:pt>
                <c:pt idx="61">
                  <c:v>43751.673611111109</c:v>
                </c:pt>
                <c:pt idx="62">
                  <c:v>43751.680555555555</c:v>
                </c:pt>
                <c:pt idx="63">
                  <c:v>43751.6875</c:v>
                </c:pt>
                <c:pt idx="64">
                  <c:v>43751.694444444445</c:v>
                </c:pt>
                <c:pt idx="65">
                  <c:v>43751.701388888891</c:v>
                </c:pt>
                <c:pt idx="66">
                  <c:v>43751.708333333336</c:v>
                </c:pt>
                <c:pt idx="67">
                  <c:v>43751.715277777781</c:v>
                </c:pt>
                <c:pt idx="68">
                  <c:v>43751.722222222219</c:v>
                </c:pt>
                <c:pt idx="69">
                  <c:v>43751.729166666664</c:v>
                </c:pt>
                <c:pt idx="70">
                  <c:v>43751.736111111109</c:v>
                </c:pt>
                <c:pt idx="71">
                  <c:v>43751.743055555555</c:v>
                </c:pt>
                <c:pt idx="72">
                  <c:v>43751.75</c:v>
                </c:pt>
              </c:numCache>
            </c:numRef>
          </c:xVal>
          <c:yVal>
            <c:numRef>
              <c:f>Main_Day1!$N$6:$N$78</c:f>
              <c:numCache>
                <c:formatCode>General</c:formatCode>
                <c:ptCount val="7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-705.01312277163879</c:v>
                </c:pt>
                <c:pt idx="13">
                  <c:v>-705.01312277163879</c:v>
                </c:pt>
                <c:pt idx="14">
                  <c:v>-705.01312277163879</c:v>
                </c:pt>
                <c:pt idx="15">
                  <c:v>-705.01312277163879</c:v>
                </c:pt>
                <c:pt idx="16">
                  <c:v>-705.01312277163879</c:v>
                </c:pt>
                <c:pt idx="17">
                  <c:v>-705.01312277163879</c:v>
                </c:pt>
                <c:pt idx="18">
                  <c:v>-705.01312277163879</c:v>
                </c:pt>
                <c:pt idx="19">
                  <c:v>-705.01312277163879</c:v>
                </c:pt>
                <c:pt idx="20">
                  <c:v>-705.01312277163879</c:v>
                </c:pt>
                <c:pt idx="21">
                  <c:v>-705.01312277163879</c:v>
                </c:pt>
                <c:pt idx="22">
                  <c:v>-705.01312277163879</c:v>
                </c:pt>
                <c:pt idx="23">
                  <c:v>-705.01312277163879</c:v>
                </c:pt>
                <c:pt idx="24">
                  <c:v>-705.01312277163879</c:v>
                </c:pt>
                <c:pt idx="25">
                  <c:v>-705.01312277163879</c:v>
                </c:pt>
                <c:pt idx="26">
                  <c:v>-705.01312277163879</c:v>
                </c:pt>
                <c:pt idx="27">
                  <c:v>-705.01312277163879</c:v>
                </c:pt>
                <c:pt idx="28">
                  <c:v>-705.01312277163879</c:v>
                </c:pt>
                <c:pt idx="29">
                  <c:v>-705.01312277163879</c:v>
                </c:pt>
                <c:pt idx="30">
                  <c:v>-705.01312277163879</c:v>
                </c:pt>
                <c:pt idx="31">
                  <c:v>-705.01312277163879</c:v>
                </c:pt>
                <c:pt idx="32">
                  <c:v>-705.01312277163879</c:v>
                </c:pt>
                <c:pt idx="33">
                  <c:v>-705.01312277163879</c:v>
                </c:pt>
                <c:pt idx="34">
                  <c:v>-705.01312277163879</c:v>
                </c:pt>
                <c:pt idx="35">
                  <c:v>-705.01312277163879</c:v>
                </c:pt>
                <c:pt idx="36">
                  <c:v>-705.01312277163879</c:v>
                </c:pt>
                <c:pt idx="37">
                  <c:v>-523.6009579884186</c:v>
                </c:pt>
                <c:pt idx="38">
                  <c:v>-523.6009579884186</c:v>
                </c:pt>
                <c:pt idx="39">
                  <c:v>-523.6009579884186</c:v>
                </c:pt>
                <c:pt idx="40">
                  <c:v>-523.6009579884186</c:v>
                </c:pt>
                <c:pt idx="41">
                  <c:v>-523.6009579884186</c:v>
                </c:pt>
                <c:pt idx="42">
                  <c:v>-523.6009579884186</c:v>
                </c:pt>
                <c:pt idx="43">
                  <c:v>-523.6009579884186</c:v>
                </c:pt>
                <c:pt idx="44">
                  <c:v>-523.6009579884186</c:v>
                </c:pt>
                <c:pt idx="45">
                  <c:v>-523.6009579884186</c:v>
                </c:pt>
                <c:pt idx="46">
                  <c:v>-523.6009579884186</c:v>
                </c:pt>
                <c:pt idx="47">
                  <c:v>-523.6009579884186</c:v>
                </c:pt>
                <c:pt idx="48">
                  <c:v>-523.6009579884186</c:v>
                </c:pt>
                <c:pt idx="49">
                  <c:v>-523.6009579884186</c:v>
                </c:pt>
                <c:pt idx="50">
                  <c:v>-523.6009579884186</c:v>
                </c:pt>
                <c:pt idx="51">
                  <c:v>-523.6009579884186</c:v>
                </c:pt>
                <c:pt idx="52">
                  <c:v>-523.6009579884186</c:v>
                </c:pt>
                <c:pt idx="53">
                  <c:v>-523.6009579884186</c:v>
                </c:pt>
                <c:pt idx="54">
                  <c:v>-523.6009579884186</c:v>
                </c:pt>
                <c:pt idx="55">
                  <c:v>-523.6009579884186</c:v>
                </c:pt>
                <c:pt idx="56">
                  <c:v>-523.6009579884186</c:v>
                </c:pt>
                <c:pt idx="57">
                  <c:v>-523.6009579884186</c:v>
                </c:pt>
                <c:pt idx="58">
                  <c:v>-523.6009579884186</c:v>
                </c:pt>
                <c:pt idx="59">
                  <c:v>-523.6009579884186</c:v>
                </c:pt>
                <c:pt idx="60">
                  <c:v>-523.6009579884186</c:v>
                </c:pt>
                <c:pt idx="61">
                  <c:v>-523.6009579884186</c:v>
                </c:pt>
                <c:pt idx="62">
                  <c:v>-523.6009579884186</c:v>
                </c:pt>
                <c:pt idx="63">
                  <c:v>-523.6009579884186</c:v>
                </c:pt>
                <c:pt idx="64">
                  <c:v>-523.6009579884186</c:v>
                </c:pt>
                <c:pt idx="65">
                  <c:v>-523.6009579884186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3CD2-4880-893C-9D71E32507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6416720"/>
        <c:axId val="508779760"/>
      </c:scatterChart>
      <c:scatterChart>
        <c:scatterStyle val="lineMarker"/>
        <c:varyColors val="0"/>
        <c:ser>
          <c:idx val="0"/>
          <c:order val="0"/>
          <c:tx>
            <c:strRef>
              <c:f>Main_Day1!$K$5</c:f>
              <c:strCache>
                <c:ptCount val="1"/>
                <c:pt idx="0">
                  <c:v>バッテリ残量[kWh]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Main_Day1!$J$6:$J$78</c:f>
              <c:numCache>
                <c:formatCode>yyyy/m/d\ h:mm;@</c:formatCode>
                <c:ptCount val="73"/>
                <c:pt idx="0">
                  <c:v>43751.25</c:v>
                </c:pt>
                <c:pt idx="1">
                  <c:v>43751.256944444445</c:v>
                </c:pt>
                <c:pt idx="2">
                  <c:v>43751.263888888891</c:v>
                </c:pt>
                <c:pt idx="3">
                  <c:v>43751.270833333336</c:v>
                </c:pt>
                <c:pt idx="4">
                  <c:v>43751.277777777781</c:v>
                </c:pt>
                <c:pt idx="5">
                  <c:v>43751.284722222219</c:v>
                </c:pt>
                <c:pt idx="6">
                  <c:v>43751.291666666664</c:v>
                </c:pt>
                <c:pt idx="7">
                  <c:v>43751.298611111109</c:v>
                </c:pt>
                <c:pt idx="8">
                  <c:v>43751.305555555555</c:v>
                </c:pt>
                <c:pt idx="9">
                  <c:v>43751.3125</c:v>
                </c:pt>
                <c:pt idx="10">
                  <c:v>43751.319444444445</c:v>
                </c:pt>
                <c:pt idx="11">
                  <c:v>43751.326388888891</c:v>
                </c:pt>
                <c:pt idx="12">
                  <c:v>43751.333333333336</c:v>
                </c:pt>
                <c:pt idx="13">
                  <c:v>43751.340277777781</c:v>
                </c:pt>
                <c:pt idx="14">
                  <c:v>43751.347222222219</c:v>
                </c:pt>
                <c:pt idx="15">
                  <c:v>43751.354166666664</c:v>
                </c:pt>
                <c:pt idx="16">
                  <c:v>43751.361111111109</c:v>
                </c:pt>
                <c:pt idx="17">
                  <c:v>43751.368055555555</c:v>
                </c:pt>
                <c:pt idx="18">
                  <c:v>43751.375</c:v>
                </c:pt>
                <c:pt idx="19">
                  <c:v>43751.381944444445</c:v>
                </c:pt>
                <c:pt idx="20">
                  <c:v>43751.388888888891</c:v>
                </c:pt>
                <c:pt idx="21">
                  <c:v>43751.395833333336</c:v>
                </c:pt>
                <c:pt idx="22">
                  <c:v>43751.402777777781</c:v>
                </c:pt>
                <c:pt idx="23">
                  <c:v>43751.409722222219</c:v>
                </c:pt>
                <c:pt idx="24">
                  <c:v>43751.416666666664</c:v>
                </c:pt>
                <c:pt idx="25">
                  <c:v>43751.423611111109</c:v>
                </c:pt>
                <c:pt idx="26">
                  <c:v>43751.430555555555</c:v>
                </c:pt>
                <c:pt idx="27">
                  <c:v>43751.4375</c:v>
                </c:pt>
                <c:pt idx="28">
                  <c:v>43751.444444444445</c:v>
                </c:pt>
                <c:pt idx="29">
                  <c:v>43751.451388888891</c:v>
                </c:pt>
                <c:pt idx="30">
                  <c:v>43751.458333333336</c:v>
                </c:pt>
                <c:pt idx="31">
                  <c:v>43751.465277777781</c:v>
                </c:pt>
                <c:pt idx="32">
                  <c:v>43751.472222222219</c:v>
                </c:pt>
                <c:pt idx="33">
                  <c:v>43751.479166666664</c:v>
                </c:pt>
                <c:pt idx="34">
                  <c:v>43751.486111111109</c:v>
                </c:pt>
                <c:pt idx="35">
                  <c:v>43751.493055555555</c:v>
                </c:pt>
                <c:pt idx="36">
                  <c:v>43751.5</c:v>
                </c:pt>
                <c:pt idx="37">
                  <c:v>43751.506944444445</c:v>
                </c:pt>
                <c:pt idx="38">
                  <c:v>43751.513888888891</c:v>
                </c:pt>
                <c:pt idx="39">
                  <c:v>43751.520833333336</c:v>
                </c:pt>
                <c:pt idx="40">
                  <c:v>43751.527777777781</c:v>
                </c:pt>
                <c:pt idx="41">
                  <c:v>43751.534722222219</c:v>
                </c:pt>
                <c:pt idx="42">
                  <c:v>43751.541666666664</c:v>
                </c:pt>
                <c:pt idx="43">
                  <c:v>43751.548611111109</c:v>
                </c:pt>
                <c:pt idx="44">
                  <c:v>43751.555555555555</c:v>
                </c:pt>
                <c:pt idx="45">
                  <c:v>43751.5625</c:v>
                </c:pt>
                <c:pt idx="46">
                  <c:v>43751.569444444445</c:v>
                </c:pt>
                <c:pt idx="47">
                  <c:v>43751.576388888891</c:v>
                </c:pt>
                <c:pt idx="48">
                  <c:v>43751.583333333336</c:v>
                </c:pt>
                <c:pt idx="49">
                  <c:v>43751.590277777781</c:v>
                </c:pt>
                <c:pt idx="50">
                  <c:v>43751.597222222219</c:v>
                </c:pt>
                <c:pt idx="51">
                  <c:v>43751.604166666664</c:v>
                </c:pt>
                <c:pt idx="52">
                  <c:v>43751.611111111109</c:v>
                </c:pt>
                <c:pt idx="53">
                  <c:v>43751.618055555555</c:v>
                </c:pt>
                <c:pt idx="54">
                  <c:v>43751.625</c:v>
                </c:pt>
                <c:pt idx="55">
                  <c:v>43751.631944444445</c:v>
                </c:pt>
                <c:pt idx="56">
                  <c:v>43751.638888888891</c:v>
                </c:pt>
                <c:pt idx="57">
                  <c:v>43751.645833333336</c:v>
                </c:pt>
                <c:pt idx="58">
                  <c:v>43751.652777777781</c:v>
                </c:pt>
                <c:pt idx="59">
                  <c:v>43751.659722222219</c:v>
                </c:pt>
                <c:pt idx="60">
                  <c:v>43751.666666666664</c:v>
                </c:pt>
                <c:pt idx="61">
                  <c:v>43751.673611111109</c:v>
                </c:pt>
                <c:pt idx="62">
                  <c:v>43751.680555555555</c:v>
                </c:pt>
                <c:pt idx="63">
                  <c:v>43751.6875</c:v>
                </c:pt>
                <c:pt idx="64">
                  <c:v>43751.694444444445</c:v>
                </c:pt>
                <c:pt idx="65">
                  <c:v>43751.701388888891</c:v>
                </c:pt>
                <c:pt idx="66">
                  <c:v>43751.708333333336</c:v>
                </c:pt>
                <c:pt idx="67">
                  <c:v>43751.715277777781</c:v>
                </c:pt>
                <c:pt idx="68">
                  <c:v>43751.722222222219</c:v>
                </c:pt>
                <c:pt idx="69">
                  <c:v>43751.729166666664</c:v>
                </c:pt>
                <c:pt idx="70">
                  <c:v>43751.736111111109</c:v>
                </c:pt>
                <c:pt idx="71">
                  <c:v>43751.743055555555</c:v>
                </c:pt>
                <c:pt idx="72">
                  <c:v>43751.75</c:v>
                </c:pt>
              </c:numCache>
            </c:numRef>
          </c:xVal>
          <c:yVal>
            <c:numRef>
              <c:f>Main_Day1!$K$6:$K$78</c:f>
              <c:numCache>
                <c:formatCode>General</c:formatCode>
                <c:ptCount val="73"/>
                <c:pt idx="0">
                  <c:v>4.9999986388888891</c:v>
                </c:pt>
                <c:pt idx="1">
                  <c:v>4.9999950000000002</c:v>
                </c:pt>
                <c:pt idx="2">
                  <c:v>4.9999895694444438</c:v>
                </c:pt>
                <c:pt idx="3">
                  <c:v>4.9999830833333334</c:v>
                </c:pt>
                <c:pt idx="4">
                  <c:v>4.9999759583333336</c:v>
                </c:pt>
                <c:pt idx="5">
                  <c:v>4.999968458333333</c:v>
                </c:pt>
                <c:pt idx="6">
                  <c:v>4.9999607500000005</c:v>
                </c:pt>
                <c:pt idx="7">
                  <c:v>4.9999529305555566</c:v>
                </c:pt>
                <c:pt idx="8">
                  <c:v>4.9999450694444443</c:v>
                </c:pt>
                <c:pt idx="9">
                  <c:v>4.9999372361111112</c:v>
                </c:pt>
                <c:pt idx="10">
                  <c:v>4.9999294583333338</c:v>
                </c:pt>
                <c:pt idx="11">
                  <c:v>4.9999217916666669</c:v>
                </c:pt>
                <c:pt idx="12">
                  <c:v>5.000110073089659</c:v>
                </c:pt>
                <c:pt idx="13">
                  <c:v>5.0001026842007708</c:v>
                </c:pt>
                <c:pt idx="14">
                  <c:v>5.0000954619785478</c:v>
                </c:pt>
                <c:pt idx="15">
                  <c:v>5.0000884342007703</c:v>
                </c:pt>
                <c:pt idx="16">
                  <c:v>5.0000816147563256</c:v>
                </c:pt>
                <c:pt idx="17">
                  <c:v>5.0000750314229929</c:v>
                </c:pt>
                <c:pt idx="18">
                  <c:v>5.0000686980896587</c:v>
                </c:pt>
                <c:pt idx="19">
                  <c:v>5.0000626286452139</c:v>
                </c:pt>
                <c:pt idx="20">
                  <c:v>5.0000568230896585</c:v>
                </c:pt>
                <c:pt idx="21">
                  <c:v>5.0000513230896582</c:v>
                </c:pt>
                <c:pt idx="22">
                  <c:v>5.0000461008674364</c:v>
                </c:pt>
                <c:pt idx="23">
                  <c:v>5.0000411980896589</c:v>
                </c:pt>
                <c:pt idx="24">
                  <c:v>5.0000366286452147</c:v>
                </c:pt>
                <c:pt idx="25">
                  <c:v>5.0000323786452148</c:v>
                </c:pt>
                <c:pt idx="26">
                  <c:v>5.0000284758674365</c:v>
                </c:pt>
                <c:pt idx="27">
                  <c:v>5.0000249064229925</c:v>
                </c:pt>
                <c:pt idx="28">
                  <c:v>5.0000216980896592</c:v>
                </c:pt>
                <c:pt idx="29">
                  <c:v>5.0000188647563251</c:v>
                </c:pt>
                <c:pt idx="30">
                  <c:v>5.0000163786452143</c:v>
                </c:pt>
                <c:pt idx="31">
                  <c:v>5.0000142814229918</c:v>
                </c:pt>
                <c:pt idx="32">
                  <c:v>5.00001255920077</c:v>
                </c:pt>
                <c:pt idx="33">
                  <c:v>5.0000112119785483</c:v>
                </c:pt>
                <c:pt idx="34">
                  <c:v>5.0000102397563264</c:v>
                </c:pt>
                <c:pt idx="35">
                  <c:v>5.0000096564229919</c:v>
                </c:pt>
                <c:pt idx="36">
                  <c:v>5.0000094758674365</c:v>
                </c:pt>
                <c:pt idx="37">
                  <c:v>4.9997730835994414</c:v>
                </c:pt>
                <c:pt idx="38">
                  <c:v>4.9997742502661078</c:v>
                </c:pt>
                <c:pt idx="39">
                  <c:v>4.9997761947105523</c:v>
                </c:pt>
                <c:pt idx="40">
                  <c:v>4.9997788613772185</c:v>
                </c:pt>
                <c:pt idx="41">
                  <c:v>4.9997823335994411</c:v>
                </c:pt>
                <c:pt idx="42">
                  <c:v>4.9997865280438853</c:v>
                </c:pt>
                <c:pt idx="43">
                  <c:v>4.9997914724883303</c:v>
                </c:pt>
                <c:pt idx="44">
                  <c:v>4.9997971669327743</c:v>
                </c:pt>
                <c:pt idx="45">
                  <c:v>4.9998035835994408</c:v>
                </c:pt>
                <c:pt idx="46">
                  <c:v>4.9998106947105523</c:v>
                </c:pt>
                <c:pt idx="47">
                  <c:v>4.9998185280438854</c:v>
                </c:pt>
                <c:pt idx="48">
                  <c:v>4.9998270002661078</c:v>
                </c:pt>
                <c:pt idx="49">
                  <c:v>4.9998361669327744</c:v>
                </c:pt>
                <c:pt idx="50">
                  <c:v>4.9998459724883295</c:v>
                </c:pt>
                <c:pt idx="51">
                  <c:v>4.9998563891549965</c:v>
                </c:pt>
                <c:pt idx="52">
                  <c:v>4.9998674169327746</c:v>
                </c:pt>
                <c:pt idx="53">
                  <c:v>4.9998790280438854</c:v>
                </c:pt>
                <c:pt idx="54">
                  <c:v>4.9998911669327741</c:v>
                </c:pt>
                <c:pt idx="55">
                  <c:v>4.9999038335994408</c:v>
                </c:pt>
                <c:pt idx="56">
                  <c:v>4.999917000266108</c:v>
                </c:pt>
                <c:pt idx="57">
                  <c:v>4.9999306113772191</c:v>
                </c:pt>
                <c:pt idx="58">
                  <c:v>4.9999446669327741</c:v>
                </c:pt>
                <c:pt idx="59">
                  <c:v>4.999959111377219</c:v>
                </c:pt>
                <c:pt idx="60">
                  <c:v>4.9999739169327748</c:v>
                </c:pt>
                <c:pt idx="61">
                  <c:v>4.9999890002661074</c:v>
                </c:pt>
                <c:pt idx="62">
                  <c:v>5.0000043613772185</c:v>
                </c:pt>
                <c:pt idx="63">
                  <c:v>5.0000198891549967</c:v>
                </c:pt>
                <c:pt idx="64">
                  <c:v>5.0000355835994412</c:v>
                </c:pt>
                <c:pt idx="65">
                  <c:v>5.0000512780438857</c:v>
                </c:pt>
                <c:pt idx="66">
                  <c:v>4.9999214722222227</c:v>
                </c:pt>
                <c:pt idx="67">
                  <c:v>4.999936916666667</c:v>
                </c:pt>
                <c:pt idx="68">
                  <c:v>4.999951888888889</c:v>
                </c:pt>
                <c:pt idx="69">
                  <c:v>4.9999661388888885</c:v>
                </c:pt>
                <c:pt idx="70">
                  <c:v>4.9999791388888886</c:v>
                </c:pt>
                <c:pt idx="71">
                  <c:v>4.9999899999999995</c:v>
                </c:pt>
                <c:pt idx="72">
                  <c:v>4.9999972777777772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CD2-4880-893C-9D71E32507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66457272"/>
        <c:axId val="866442872"/>
      </c:scatterChart>
      <c:valAx>
        <c:axId val="57641672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altLang="ja-JP"/>
                  <a:t>[W]</a:t>
                </a:r>
                <a:endParaRPr lang="ja-JP" altLang="en-US"/>
              </a:p>
            </c:rich>
          </c:tx>
          <c:layout>
            <c:manualLayout>
              <c:xMode val="edge"/>
              <c:yMode val="edge"/>
              <c:x val="2.0802286605375749E-2"/>
              <c:y val="8.3929271998894897E-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</c:title>
        <c:numFmt formatCode="h:mm;@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08779760"/>
        <c:crosses val="autoZero"/>
        <c:crossBetween val="midCat"/>
      </c:valAx>
      <c:valAx>
        <c:axId val="508779760"/>
        <c:scaling>
          <c:orientation val="minMax"/>
          <c:max val="1500"/>
          <c:min val="-15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6416720"/>
        <c:crosses val="autoZero"/>
        <c:crossBetween val="midCat"/>
      </c:valAx>
      <c:valAx>
        <c:axId val="866442872"/>
        <c:scaling>
          <c:orientation val="minMax"/>
          <c:max val="6"/>
          <c:min val="-6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866457272"/>
        <c:crosses val="max"/>
        <c:crossBetween val="midCat"/>
      </c:valAx>
      <c:valAx>
        <c:axId val="866457272"/>
        <c:scaling>
          <c:orientation val="minMax"/>
        </c:scaling>
        <c:delete val="1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altLang="ja-JP"/>
                  <a:t>[kWh]</a:t>
                </a:r>
                <a:endParaRPr lang="ja-JP" altLang="en-US"/>
              </a:p>
            </c:rich>
          </c:tx>
          <c:layout>
            <c:manualLayout>
              <c:xMode val="edge"/>
              <c:yMode val="edge"/>
              <c:x val="0.93069819960055378"/>
              <c:y val="9.0946815858543986E-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</c:title>
        <c:numFmt formatCode="yyyy/m/d\ h:mm;@" sourceLinked="1"/>
        <c:majorTickMark val="out"/>
        <c:minorTickMark val="none"/>
        <c:tickLblPos val="nextTo"/>
        <c:crossAx val="86644287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0.35905481653061716"/>
          <c:y val="0.82669729164405703"/>
          <c:w val="0.56188129628707983"/>
          <c:h val="5.9409481167066409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Main_Day1!$S$6:$S$78</c:f>
              <c:numCache>
                <c:formatCode>yyyy/m/d\ h:mm;@</c:formatCode>
                <c:ptCount val="73"/>
                <c:pt idx="0">
                  <c:v>43751.25</c:v>
                </c:pt>
                <c:pt idx="1">
                  <c:v>43751.256944444445</c:v>
                </c:pt>
                <c:pt idx="2">
                  <c:v>43751.263888888891</c:v>
                </c:pt>
                <c:pt idx="3">
                  <c:v>43751.270833333336</c:v>
                </c:pt>
                <c:pt idx="4">
                  <c:v>43751.277777777781</c:v>
                </c:pt>
                <c:pt idx="5">
                  <c:v>43751.284722222219</c:v>
                </c:pt>
                <c:pt idx="6">
                  <c:v>43751.291666666664</c:v>
                </c:pt>
                <c:pt idx="7">
                  <c:v>43751.298611111109</c:v>
                </c:pt>
                <c:pt idx="8">
                  <c:v>43751.305555555555</c:v>
                </c:pt>
                <c:pt idx="9">
                  <c:v>43751.3125</c:v>
                </c:pt>
                <c:pt idx="10">
                  <c:v>43751.319444444445</c:v>
                </c:pt>
                <c:pt idx="11">
                  <c:v>43751.326388888891</c:v>
                </c:pt>
                <c:pt idx="12">
                  <c:v>43751.333333333336</c:v>
                </c:pt>
                <c:pt idx="13">
                  <c:v>43751.340277777781</c:v>
                </c:pt>
                <c:pt idx="14">
                  <c:v>43751.347222222219</c:v>
                </c:pt>
                <c:pt idx="15">
                  <c:v>43751.354166666664</c:v>
                </c:pt>
                <c:pt idx="16">
                  <c:v>43751.361111111109</c:v>
                </c:pt>
                <c:pt idx="17">
                  <c:v>43751.368055555555</c:v>
                </c:pt>
                <c:pt idx="18">
                  <c:v>43751.375</c:v>
                </c:pt>
                <c:pt idx="19">
                  <c:v>43751.381944444445</c:v>
                </c:pt>
                <c:pt idx="20">
                  <c:v>43751.388888888891</c:v>
                </c:pt>
                <c:pt idx="21">
                  <c:v>43751.395833333336</c:v>
                </c:pt>
                <c:pt idx="22">
                  <c:v>43751.402777777781</c:v>
                </c:pt>
                <c:pt idx="23">
                  <c:v>43751.409722222219</c:v>
                </c:pt>
                <c:pt idx="24">
                  <c:v>43751.416666666664</c:v>
                </c:pt>
                <c:pt idx="25">
                  <c:v>43751.423611111109</c:v>
                </c:pt>
                <c:pt idx="26">
                  <c:v>43751.430555555555</c:v>
                </c:pt>
                <c:pt idx="27">
                  <c:v>43751.4375</c:v>
                </c:pt>
                <c:pt idx="28">
                  <c:v>43751.444444444445</c:v>
                </c:pt>
                <c:pt idx="29">
                  <c:v>43751.451388888891</c:v>
                </c:pt>
                <c:pt idx="30">
                  <c:v>43751.458333333336</c:v>
                </c:pt>
                <c:pt idx="31">
                  <c:v>43751.465277777781</c:v>
                </c:pt>
                <c:pt idx="32">
                  <c:v>43751.472222222219</c:v>
                </c:pt>
                <c:pt idx="33">
                  <c:v>43751.479166666664</c:v>
                </c:pt>
                <c:pt idx="34">
                  <c:v>43751.486111111109</c:v>
                </c:pt>
                <c:pt idx="35">
                  <c:v>43751.493055555555</c:v>
                </c:pt>
                <c:pt idx="36">
                  <c:v>43751.5</c:v>
                </c:pt>
                <c:pt idx="37">
                  <c:v>43751.506944444445</c:v>
                </c:pt>
                <c:pt idx="38">
                  <c:v>43751.513888888891</c:v>
                </c:pt>
                <c:pt idx="39">
                  <c:v>43751.520833333336</c:v>
                </c:pt>
                <c:pt idx="40">
                  <c:v>43751.527777777781</c:v>
                </c:pt>
                <c:pt idx="41">
                  <c:v>43751.534722222219</c:v>
                </c:pt>
                <c:pt idx="42">
                  <c:v>43751.541666666664</c:v>
                </c:pt>
                <c:pt idx="43">
                  <c:v>43751.548611111109</c:v>
                </c:pt>
                <c:pt idx="44">
                  <c:v>43751.555555555555</c:v>
                </c:pt>
                <c:pt idx="45">
                  <c:v>43751.5625</c:v>
                </c:pt>
                <c:pt idx="46">
                  <c:v>43751.569444444445</c:v>
                </c:pt>
                <c:pt idx="47">
                  <c:v>43751.576388888891</c:v>
                </c:pt>
                <c:pt idx="48">
                  <c:v>43751.583333333336</c:v>
                </c:pt>
                <c:pt idx="49">
                  <c:v>43751.590277777781</c:v>
                </c:pt>
                <c:pt idx="50">
                  <c:v>43751.597222222219</c:v>
                </c:pt>
                <c:pt idx="51">
                  <c:v>43751.604166666664</c:v>
                </c:pt>
                <c:pt idx="52">
                  <c:v>43751.611111111109</c:v>
                </c:pt>
                <c:pt idx="53">
                  <c:v>43751.618055555555</c:v>
                </c:pt>
                <c:pt idx="54">
                  <c:v>43751.625</c:v>
                </c:pt>
                <c:pt idx="55">
                  <c:v>43751.631944444445</c:v>
                </c:pt>
                <c:pt idx="56">
                  <c:v>43751.638888888891</c:v>
                </c:pt>
                <c:pt idx="57">
                  <c:v>43751.645833333336</c:v>
                </c:pt>
                <c:pt idx="58">
                  <c:v>43751.652777777781</c:v>
                </c:pt>
                <c:pt idx="59">
                  <c:v>43751.659722222219</c:v>
                </c:pt>
                <c:pt idx="60">
                  <c:v>43751.666666666664</c:v>
                </c:pt>
                <c:pt idx="61">
                  <c:v>43751.673611111109</c:v>
                </c:pt>
                <c:pt idx="62">
                  <c:v>43751.680555555555</c:v>
                </c:pt>
                <c:pt idx="63">
                  <c:v>43751.6875</c:v>
                </c:pt>
                <c:pt idx="64">
                  <c:v>43751.694444444445</c:v>
                </c:pt>
                <c:pt idx="65">
                  <c:v>43751.701388888891</c:v>
                </c:pt>
                <c:pt idx="66">
                  <c:v>43751.708333333336</c:v>
                </c:pt>
                <c:pt idx="67">
                  <c:v>43751.715277777781</c:v>
                </c:pt>
                <c:pt idx="68">
                  <c:v>43751.722222222219</c:v>
                </c:pt>
                <c:pt idx="69">
                  <c:v>43751.729166666664</c:v>
                </c:pt>
                <c:pt idx="70">
                  <c:v>43751.736111111109</c:v>
                </c:pt>
                <c:pt idx="71">
                  <c:v>43751.743055555555</c:v>
                </c:pt>
                <c:pt idx="72">
                  <c:v>43751.75</c:v>
                </c:pt>
              </c:numCache>
            </c:numRef>
          </c:xVal>
          <c:yVal>
            <c:numRef>
              <c:f>Main_Day1!$T$6:$T$78</c:f>
              <c:numCache>
                <c:formatCode>General</c:formatCode>
                <c:ptCount val="73"/>
                <c:pt idx="0">
                  <c:v>4.9999986388888891</c:v>
                </c:pt>
                <c:pt idx="1">
                  <c:v>4.9999950000000002</c:v>
                </c:pt>
                <c:pt idx="2">
                  <c:v>4.9999895694444438</c:v>
                </c:pt>
                <c:pt idx="3">
                  <c:v>4.9999830833333334</c:v>
                </c:pt>
                <c:pt idx="4">
                  <c:v>4.9999759583333336</c:v>
                </c:pt>
                <c:pt idx="5">
                  <c:v>4.999968458333333</c:v>
                </c:pt>
                <c:pt idx="6">
                  <c:v>4.9999607500000005</c:v>
                </c:pt>
                <c:pt idx="7">
                  <c:v>4.9999529305555566</c:v>
                </c:pt>
                <c:pt idx="8">
                  <c:v>4.9999450694444443</c:v>
                </c:pt>
                <c:pt idx="9">
                  <c:v>4.9999372361111112</c:v>
                </c:pt>
                <c:pt idx="10">
                  <c:v>4.9999294583333338</c:v>
                </c:pt>
                <c:pt idx="11">
                  <c:v>4.9999217916666669</c:v>
                </c:pt>
                <c:pt idx="12">
                  <c:v>5.000110073089659</c:v>
                </c:pt>
                <c:pt idx="13">
                  <c:v>5.0001026842007708</c:v>
                </c:pt>
                <c:pt idx="14">
                  <c:v>5.0000954619785478</c:v>
                </c:pt>
                <c:pt idx="15">
                  <c:v>5.0000884342007703</c:v>
                </c:pt>
                <c:pt idx="16">
                  <c:v>5.0000816147563256</c:v>
                </c:pt>
                <c:pt idx="17">
                  <c:v>5.0000750314229929</c:v>
                </c:pt>
                <c:pt idx="18">
                  <c:v>5.0000686980896587</c:v>
                </c:pt>
                <c:pt idx="19">
                  <c:v>5.0000626286452139</c:v>
                </c:pt>
                <c:pt idx="20">
                  <c:v>5.0000568230896585</c:v>
                </c:pt>
                <c:pt idx="21">
                  <c:v>5.0000513230896582</c:v>
                </c:pt>
                <c:pt idx="22">
                  <c:v>5.0000461008674364</c:v>
                </c:pt>
                <c:pt idx="23">
                  <c:v>5.0000411980896589</c:v>
                </c:pt>
                <c:pt idx="24">
                  <c:v>5.0000366286452147</c:v>
                </c:pt>
                <c:pt idx="25">
                  <c:v>5.0000323786452148</c:v>
                </c:pt>
                <c:pt idx="26">
                  <c:v>5.0000284758674365</c:v>
                </c:pt>
                <c:pt idx="27">
                  <c:v>5.0000249064229925</c:v>
                </c:pt>
                <c:pt idx="28">
                  <c:v>5.0000216980896592</c:v>
                </c:pt>
                <c:pt idx="29">
                  <c:v>5.0000188647563251</c:v>
                </c:pt>
                <c:pt idx="30">
                  <c:v>5.0000163786452143</c:v>
                </c:pt>
                <c:pt idx="31">
                  <c:v>5.0000142814229918</c:v>
                </c:pt>
                <c:pt idx="32">
                  <c:v>5.00001255920077</c:v>
                </c:pt>
                <c:pt idx="33">
                  <c:v>5.0000112119785483</c:v>
                </c:pt>
                <c:pt idx="34">
                  <c:v>5.0000102397563264</c:v>
                </c:pt>
                <c:pt idx="35">
                  <c:v>5.0000096564229919</c:v>
                </c:pt>
                <c:pt idx="36">
                  <c:v>5.0000094758674365</c:v>
                </c:pt>
                <c:pt idx="37">
                  <c:v>4.9997730835994414</c:v>
                </c:pt>
                <c:pt idx="38">
                  <c:v>4.9997742502661078</c:v>
                </c:pt>
                <c:pt idx="39">
                  <c:v>4.9997761947105523</c:v>
                </c:pt>
                <c:pt idx="40">
                  <c:v>4.9997788613772185</c:v>
                </c:pt>
                <c:pt idx="41">
                  <c:v>4.9997823335994411</c:v>
                </c:pt>
                <c:pt idx="42">
                  <c:v>4.9997865280438853</c:v>
                </c:pt>
                <c:pt idx="43">
                  <c:v>4.9997914724883303</c:v>
                </c:pt>
                <c:pt idx="44">
                  <c:v>4.9997971669327743</c:v>
                </c:pt>
                <c:pt idx="45">
                  <c:v>4.9998035835994408</c:v>
                </c:pt>
                <c:pt idx="46">
                  <c:v>4.9998106947105523</c:v>
                </c:pt>
                <c:pt idx="47">
                  <c:v>4.9998185280438854</c:v>
                </c:pt>
                <c:pt idx="48">
                  <c:v>4.9998270002661078</c:v>
                </c:pt>
                <c:pt idx="49">
                  <c:v>4.9998361669327744</c:v>
                </c:pt>
                <c:pt idx="50">
                  <c:v>4.9998459724883295</c:v>
                </c:pt>
                <c:pt idx="51">
                  <c:v>4.9998563891549965</c:v>
                </c:pt>
                <c:pt idx="52">
                  <c:v>4.9998674169327746</c:v>
                </c:pt>
                <c:pt idx="53">
                  <c:v>4.9998790280438854</c:v>
                </c:pt>
                <c:pt idx="54">
                  <c:v>4.9998911669327741</c:v>
                </c:pt>
                <c:pt idx="55">
                  <c:v>4.9999038335994408</c:v>
                </c:pt>
                <c:pt idx="56">
                  <c:v>4.999917000266108</c:v>
                </c:pt>
                <c:pt idx="57">
                  <c:v>4.9999306113772191</c:v>
                </c:pt>
                <c:pt idx="58">
                  <c:v>4.9999446669327741</c:v>
                </c:pt>
                <c:pt idx="59">
                  <c:v>4.999959111377219</c:v>
                </c:pt>
                <c:pt idx="60">
                  <c:v>4.9999739169327748</c:v>
                </c:pt>
                <c:pt idx="61">
                  <c:v>4.9999890002661074</c:v>
                </c:pt>
                <c:pt idx="62">
                  <c:v>5.0000043613772185</c:v>
                </c:pt>
                <c:pt idx="63">
                  <c:v>5.0000198891549967</c:v>
                </c:pt>
                <c:pt idx="64">
                  <c:v>5.0000355835994412</c:v>
                </c:pt>
                <c:pt idx="65">
                  <c:v>5.0000512780438857</c:v>
                </c:pt>
                <c:pt idx="66">
                  <c:v>4.9999214722222227</c:v>
                </c:pt>
                <c:pt idx="67">
                  <c:v>4.999936916666667</c:v>
                </c:pt>
                <c:pt idx="68">
                  <c:v>4.999951888888889</c:v>
                </c:pt>
                <c:pt idx="69">
                  <c:v>4.9999661388888885</c:v>
                </c:pt>
                <c:pt idx="70">
                  <c:v>4.9999791388888886</c:v>
                </c:pt>
                <c:pt idx="71">
                  <c:v>4.9999899999999995</c:v>
                </c:pt>
                <c:pt idx="72">
                  <c:v>4.9999972777777772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C8B-4D22-8AC3-0F79D3D40A93}"/>
            </c:ext>
          </c:extLst>
        </c:ser>
        <c:ser>
          <c:idx val="1"/>
          <c:order val="1"/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Main_Day1!$S$6:$S$78</c:f>
              <c:numCache>
                <c:formatCode>yyyy/m/d\ h:mm;@</c:formatCode>
                <c:ptCount val="73"/>
                <c:pt idx="0">
                  <c:v>43751.25</c:v>
                </c:pt>
                <c:pt idx="1">
                  <c:v>43751.256944444445</c:v>
                </c:pt>
                <c:pt idx="2">
                  <c:v>43751.263888888891</c:v>
                </c:pt>
                <c:pt idx="3">
                  <c:v>43751.270833333336</c:v>
                </c:pt>
                <c:pt idx="4">
                  <c:v>43751.277777777781</c:v>
                </c:pt>
                <c:pt idx="5">
                  <c:v>43751.284722222219</c:v>
                </c:pt>
                <c:pt idx="6">
                  <c:v>43751.291666666664</c:v>
                </c:pt>
                <c:pt idx="7">
                  <c:v>43751.298611111109</c:v>
                </c:pt>
                <c:pt idx="8">
                  <c:v>43751.305555555555</c:v>
                </c:pt>
                <c:pt idx="9">
                  <c:v>43751.3125</c:v>
                </c:pt>
                <c:pt idx="10">
                  <c:v>43751.319444444445</c:v>
                </c:pt>
                <c:pt idx="11">
                  <c:v>43751.326388888891</c:v>
                </c:pt>
                <c:pt idx="12">
                  <c:v>43751.333333333336</c:v>
                </c:pt>
                <c:pt idx="13">
                  <c:v>43751.340277777781</c:v>
                </c:pt>
                <c:pt idx="14">
                  <c:v>43751.347222222219</c:v>
                </c:pt>
                <c:pt idx="15">
                  <c:v>43751.354166666664</c:v>
                </c:pt>
                <c:pt idx="16">
                  <c:v>43751.361111111109</c:v>
                </c:pt>
                <c:pt idx="17">
                  <c:v>43751.368055555555</c:v>
                </c:pt>
                <c:pt idx="18">
                  <c:v>43751.375</c:v>
                </c:pt>
                <c:pt idx="19">
                  <c:v>43751.381944444445</c:v>
                </c:pt>
                <c:pt idx="20">
                  <c:v>43751.388888888891</c:v>
                </c:pt>
                <c:pt idx="21">
                  <c:v>43751.395833333336</c:v>
                </c:pt>
                <c:pt idx="22">
                  <c:v>43751.402777777781</c:v>
                </c:pt>
                <c:pt idx="23">
                  <c:v>43751.409722222219</c:v>
                </c:pt>
                <c:pt idx="24">
                  <c:v>43751.416666666664</c:v>
                </c:pt>
                <c:pt idx="25">
                  <c:v>43751.423611111109</c:v>
                </c:pt>
                <c:pt idx="26">
                  <c:v>43751.430555555555</c:v>
                </c:pt>
                <c:pt idx="27">
                  <c:v>43751.4375</c:v>
                </c:pt>
                <c:pt idx="28">
                  <c:v>43751.444444444445</c:v>
                </c:pt>
                <c:pt idx="29">
                  <c:v>43751.451388888891</c:v>
                </c:pt>
                <c:pt idx="30">
                  <c:v>43751.458333333336</c:v>
                </c:pt>
                <c:pt idx="31">
                  <c:v>43751.465277777781</c:v>
                </c:pt>
                <c:pt idx="32">
                  <c:v>43751.472222222219</c:v>
                </c:pt>
                <c:pt idx="33">
                  <c:v>43751.479166666664</c:v>
                </c:pt>
                <c:pt idx="34">
                  <c:v>43751.486111111109</c:v>
                </c:pt>
                <c:pt idx="35">
                  <c:v>43751.493055555555</c:v>
                </c:pt>
                <c:pt idx="36">
                  <c:v>43751.5</c:v>
                </c:pt>
                <c:pt idx="37">
                  <c:v>43751.506944444445</c:v>
                </c:pt>
                <c:pt idx="38">
                  <c:v>43751.513888888891</c:v>
                </c:pt>
                <c:pt idx="39">
                  <c:v>43751.520833333336</c:v>
                </c:pt>
                <c:pt idx="40">
                  <c:v>43751.527777777781</c:v>
                </c:pt>
                <c:pt idx="41">
                  <c:v>43751.534722222219</c:v>
                </c:pt>
                <c:pt idx="42">
                  <c:v>43751.541666666664</c:v>
                </c:pt>
                <c:pt idx="43">
                  <c:v>43751.548611111109</c:v>
                </c:pt>
                <c:pt idx="44">
                  <c:v>43751.555555555555</c:v>
                </c:pt>
                <c:pt idx="45">
                  <c:v>43751.5625</c:v>
                </c:pt>
                <c:pt idx="46">
                  <c:v>43751.569444444445</c:v>
                </c:pt>
                <c:pt idx="47">
                  <c:v>43751.576388888891</c:v>
                </c:pt>
                <c:pt idx="48">
                  <c:v>43751.583333333336</c:v>
                </c:pt>
                <c:pt idx="49">
                  <c:v>43751.590277777781</c:v>
                </c:pt>
                <c:pt idx="50">
                  <c:v>43751.597222222219</c:v>
                </c:pt>
                <c:pt idx="51">
                  <c:v>43751.604166666664</c:v>
                </c:pt>
                <c:pt idx="52">
                  <c:v>43751.611111111109</c:v>
                </c:pt>
                <c:pt idx="53">
                  <c:v>43751.618055555555</c:v>
                </c:pt>
                <c:pt idx="54">
                  <c:v>43751.625</c:v>
                </c:pt>
                <c:pt idx="55">
                  <c:v>43751.631944444445</c:v>
                </c:pt>
                <c:pt idx="56">
                  <c:v>43751.638888888891</c:v>
                </c:pt>
                <c:pt idx="57">
                  <c:v>43751.645833333336</c:v>
                </c:pt>
                <c:pt idx="58">
                  <c:v>43751.652777777781</c:v>
                </c:pt>
                <c:pt idx="59">
                  <c:v>43751.659722222219</c:v>
                </c:pt>
                <c:pt idx="60">
                  <c:v>43751.666666666664</c:v>
                </c:pt>
                <c:pt idx="61">
                  <c:v>43751.673611111109</c:v>
                </c:pt>
                <c:pt idx="62">
                  <c:v>43751.680555555555</c:v>
                </c:pt>
                <c:pt idx="63">
                  <c:v>43751.6875</c:v>
                </c:pt>
                <c:pt idx="64">
                  <c:v>43751.694444444445</c:v>
                </c:pt>
                <c:pt idx="65">
                  <c:v>43751.701388888891</c:v>
                </c:pt>
                <c:pt idx="66">
                  <c:v>43751.708333333336</c:v>
                </c:pt>
                <c:pt idx="67">
                  <c:v>43751.715277777781</c:v>
                </c:pt>
                <c:pt idx="68">
                  <c:v>43751.722222222219</c:v>
                </c:pt>
                <c:pt idx="69">
                  <c:v>43751.729166666664</c:v>
                </c:pt>
                <c:pt idx="70">
                  <c:v>43751.736111111109</c:v>
                </c:pt>
                <c:pt idx="71">
                  <c:v>43751.743055555555</c:v>
                </c:pt>
                <c:pt idx="72">
                  <c:v>43751.75</c:v>
                </c:pt>
              </c:numCache>
            </c:numRef>
          </c:xVal>
          <c:yVal>
            <c:numRef>
              <c:f>Main_Day1!$U$6:$U$78</c:f>
              <c:numCache>
                <c:formatCode>General</c:formatCode>
                <c:ptCount val="73"/>
                <c:pt idx="0">
                  <c:v>4.9000000000000004</c:v>
                </c:pt>
                <c:pt idx="1">
                  <c:v>18</c:v>
                </c:pt>
                <c:pt idx="2">
                  <c:v>37.549999999999997</c:v>
                </c:pt>
                <c:pt idx="3">
                  <c:v>60.9</c:v>
                </c:pt>
                <c:pt idx="4">
                  <c:v>86.55</c:v>
                </c:pt>
                <c:pt idx="5">
                  <c:v>113.55</c:v>
                </c:pt>
                <c:pt idx="6">
                  <c:v>141.30000000000001</c:v>
                </c:pt>
                <c:pt idx="7">
                  <c:v>169.45</c:v>
                </c:pt>
                <c:pt idx="8">
                  <c:v>197.75</c:v>
                </c:pt>
                <c:pt idx="9">
                  <c:v>225.95</c:v>
                </c:pt>
                <c:pt idx="10">
                  <c:v>253.95</c:v>
                </c:pt>
                <c:pt idx="11">
                  <c:v>281.55</c:v>
                </c:pt>
                <c:pt idx="12">
                  <c:v>-396.26312277163879</c:v>
                </c:pt>
                <c:pt idx="13">
                  <c:v>-369.66312277163877</c:v>
                </c:pt>
                <c:pt idx="14">
                  <c:v>-343.66312277163877</c:v>
                </c:pt>
                <c:pt idx="15">
                  <c:v>-318.36312277163881</c:v>
                </c:pt>
                <c:pt idx="16">
                  <c:v>-293.8131227716388</c:v>
                </c:pt>
                <c:pt idx="17">
                  <c:v>-270.11312277163881</c:v>
                </c:pt>
                <c:pt idx="18">
                  <c:v>-247.3131227716388</c:v>
                </c:pt>
                <c:pt idx="19">
                  <c:v>-225.46312277163878</c:v>
                </c:pt>
                <c:pt idx="20">
                  <c:v>-204.5631227716388</c:v>
                </c:pt>
                <c:pt idx="21">
                  <c:v>-184.76312277163879</c:v>
                </c:pt>
                <c:pt idx="22">
                  <c:v>-165.96312277163884</c:v>
                </c:pt>
                <c:pt idx="23">
                  <c:v>-148.31312277163875</c:v>
                </c:pt>
                <c:pt idx="24">
                  <c:v>-131.86312277163881</c:v>
                </c:pt>
                <c:pt idx="25">
                  <c:v>-116.56312277163875</c:v>
                </c:pt>
                <c:pt idx="26">
                  <c:v>-102.51312277163879</c:v>
                </c:pt>
                <c:pt idx="27">
                  <c:v>-89.663122771638768</c:v>
                </c:pt>
                <c:pt idx="28">
                  <c:v>-78.113122771638814</c:v>
                </c:pt>
                <c:pt idx="29">
                  <c:v>-67.913122771638768</c:v>
                </c:pt>
                <c:pt idx="30">
                  <c:v>-58.963122771638837</c:v>
                </c:pt>
                <c:pt idx="31">
                  <c:v>-51.413122771638768</c:v>
                </c:pt>
                <c:pt idx="32">
                  <c:v>-45.213122771638837</c:v>
                </c:pt>
                <c:pt idx="33">
                  <c:v>-40.363122771638814</c:v>
                </c:pt>
                <c:pt idx="34">
                  <c:v>-36.863122771638814</c:v>
                </c:pt>
                <c:pt idx="35">
                  <c:v>-34.763122771638791</c:v>
                </c:pt>
                <c:pt idx="36">
                  <c:v>-34.113122771638814</c:v>
                </c:pt>
                <c:pt idx="37">
                  <c:v>816.8990420115814</c:v>
                </c:pt>
                <c:pt idx="38">
                  <c:v>812.69904201158135</c:v>
                </c:pt>
                <c:pt idx="39">
                  <c:v>805.69904201158135</c:v>
                </c:pt>
                <c:pt idx="40">
                  <c:v>796.09904201158145</c:v>
                </c:pt>
                <c:pt idx="41">
                  <c:v>783.59904201158145</c:v>
                </c:pt>
                <c:pt idx="42">
                  <c:v>768.49904201158131</c:v>
                </c:pt>
                <c:pt idx="43">
                  <c:v>750.69904201158135</c:v>
                </c:pt>
                <c:pt idx="44">
                  <c:v>730.19904201158135</c:v>
                </c:pt>
                <c:pt idx="45">
                  <c:v>707.09904201158145</c:v>
                </c:pt>
                <c:pt idx="46">
                  <c:v>681.49904201158131</c:v>
                </c:pt>
                <c:pt idx="47">
                  <c:v>653.29904201158149</c:v>
                </c:pt>
                <c:pt idx="48">
                  <c:v>622.79904201158149</c:v>
                </c:pt>
                <c:pt idx="49">
                  <c:v>589.79904201158149</c:v>
                </c:pt>
                <c:pt idx="50">
                  <c:v>554.49904201158131</c:v>
                </c:pt>
                <c:pt idx="51">
                  <c:v>516.99904201158131</c:v>
                </c:pt>
                <c:pt idx="52">
                  <c:v>477.29904201158138</c:v>
                </c:pt>
                <c:pt idx="53">
                  <c:v>435.49904201158142</c:v>
                </c:pt>
                <c:pt idx="54">
                  <c:v>391.79904201158138</c:v>
                </c:pt>
                <c:pt idx="55">
                  <c:v>346.19904201158135</c:v>
                </c:pt>
                <c:pt idx="56">
                  <c:v>298.79904201158138</c:v>
                </c:pt>
                <c:pt idx="57">
                  <c:v>249.79904201158138</c:v>
                </c:pt>
                <c:pt idx="58">
                  <c:v>199.19904201158135</c:v>
                </c:pt>
                <c:pt idx="59">
                  <c:v>147.19904201158135</c:v>
                </c:pt>
                <c:pt idx="60">
                  <c:v>93.8990420115814</c:v>
                </c:pt>
                <c:pt idx="61">
                  <c:v>39.599042011581446</c:v>
                </c:pt>
                <c:pt idx="62">
                  <c:v>-15.700957988418622</c:v>
                </c:pt>
                <c:pt idx="63">
                  <c:v>-71.6009579884186</c:v>
                </c:pt>
                <c:pt idx="64">
                  <c:v>-128.1009579884186</c:v>
                </c:pt>
                <c:pt idx="65">
                  <c:v>-184.6009579884186</c:v>
                </c:pt>
                <c:pt idx="66">
                  <c:v>282.7</c:v>
                </c:pt>
                <c:pt idx="67">
                  <c:v>227.1</c:v>
                </c:pt>
                <c:pt idx="68">
                  <c:v>173.2</c:v>
                </c:pt>
                <c:pt idx="69">
                  <c:v>121.9</c:v>
                </c:pt>
                <c:pt idx="70">
                  <c:v>75.099999999999994</c:v>
                </c:pt>
                <c:pt idx="71">
                  <c:v>36</c:v>
                </c:pt>
                <c:pt idx="72">
                  <c:v>9.8000000000000007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C8B-4D22-8AC3-0F79D3D40A93}"/>
            </c:ext>
          </c:extLst>
        </c:ser>
        <c:ser>
          <c:idx val="2"/>
          <c:order val="2"/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Main_Day1!$S$6:$S$78</c:f>
              <c:numCache>
                <c:formatCode>yyyy/m/d\ h:mm;@</c:formatCode>
                <c:ptCount val="73"/>
                <c:pt idx="0">
                  <c:v>43751.25</c:v>
                </c:pt>
                <c:pt idx="1">
                  <c:v>43751.256944444445</c:v>
                </c:pt>
                <c:pt idx="2">
                  <c:v>43751.263888888891</c:v>
                </c:pt>
                <c:pt idx="3">
                  <c:v>43751.270833333336</c:v>
                </c:pt>
                <c:pt idx="4">
                  <c:v>43751.277777777781</c:v>
                </c:pt>
                <c:pt idx="5">
                  <c:v>43751.284722222219</c:v>
                </c:pt>
                <c:pt idx="6">
                  <c:v>43751.291666666664</c:v>
                </c:pt>
                <c:pt idx="7">
                  <c:v>43751.298611111109</c:v>
                </c:pt>
                <c:pt idx="8">
                  <c:v>43751.305555555555</c:v>
                </c:pt>
                <c:pt idx="9">
                  <c:v>43751.3125</c:v>
                </c:pt>
                <c:pt idx="10">
                  <c:v>43751.319444444445</c:v>
                </c:pt>
                <c:pt idx="11">
                  <c:v>43751.326388888891</c:v>
                </c:pt>
                <c:pt idx="12">
                  <c:v>43751.333333333336</c:v>
                </c:pt>
                <c:pt idx="13">
                  <c:v>43751.340277777781</c:v>
                </c:pt>
                <c:pt idx="14">
                  <c:v>43751.347222222219</c:v>
                </c:pt>
                <c:pt idx="15">
                  <c:v>43751.354166666664</c:v>
                </c:pt>
                <c:pt idx="16">
                  <c:v>43751.361111111109</c:v>
                </c:pt>
                <c:pt idx="17">
                  <c:v>43751.368055555555</c:v>
                </c:pt>
                <c:pt idx="18">
                  <c:v>43751.375</c:v>
                </c:pt>
                <c:pt idx="19">
                  <c:v>43751.381944444445</c:v>
                </c:pt>
                <c:pt idx="20">
                  <c:v>43751.388888888891</c:v>
                </c:pt>
                <c:pt idx="21">
                  <c:v>43751.395833333336</c:v>
                </c:pt>
                <c:pt idx="22">
                  <c:v>43751.402777777781</c:v>
                </c:pt>
                <c:pt idx="23">
                  <c:v>43751.409722222219</c:v>
                </c:pt>
                <c:pt idx="24">
                  <c:v>43751.416666666664</c:v>
                </c:pt>
                <c:pt idx="25">
                  <c:v>43751.423611111109</c:v>
                </c:pt>
                <c:pt idx="26">
                  <c:v>43751.430555555555</c:v>
                </c:pt>
                <c:pt idx="27">
                  <c:v>43751.4375</c:v>
                </c:pt>
                <c:pt idx="28">
                  <c:v>43751.444444444445</c:v>
                </c:pt>
                <c:pt idx="29">
                  <c:v>43751.451388888891</c:v>
                </c:pt>
                <c:pt idx="30">
                  <c:v>43751.458333333336</c:v>
                </c:pt>
                <c:pt idx="31">
                  <c:v>43751.465277777781</c:v>
                </c:pt>
                <c:pt idx="32">
                  <c:v>43751.472222222219</c:v>
                </c:pt>
                <c:pt idx="33">
                  <c:v>43751.479166666664</c:v>
                </c:pt>
                <c:pt idx="34">
                  <c:v>43751.486111111109</c:v>
                </c:pt>
                <c:pt idx="35">
                  <c:v>43751.493055555555</c:v>
                </c:pt>
                <c:pt idx="36">
                  <c:v>43751.5</c:v>
                </c:pt>
                <c:pt idx="37">
                  <c:v>43751.506944444445</c:v>
                </c:pt>
                <c:pt idx="38">
                  <c:v>43751.513888888891</c:v>
                </c:pt>
                <c:pt idx="39">
                  <c:v>43751.520833333336</c:v>
                </c:pt>
                <c:pt idx="40">
                  <c:v>43751.527777777781</c:v>
                </c:pt>
                <c:pt idx="41">
                  <c:v>43751.534722222219</c:v>
                </c:pt>
                <c:pt idx="42">
                  <c:v>43751.541666666664</c:v>
                </c:pt>
                <c:pt idx="43">
                  <c:v>43751.548611111109</c:v>
                </c:pt>
                <c:pt idx="44">
                  <c:v>43751.555555555555</c:v>
                </c:pt>
                <c:pt idx="45">
                  <c:v>43751.5625</c:v>
                </c:pt>
                <c:pt idx="46">
                  <c:v>43751.569444444445</c:v>
                </c:pt>
                <c:pt idx="47">
                  <c:v>43751.576388888891</c:v>
                </c:pt>
                <c:pt idx="48">
                  <c:v>43751.583333333336</c:v>
                </c:pt>
                <c:pt idx="49">
                  <c:v>43751.590277777781</c:v>
                </c:pt>
                <c:pt idx="50">
                  <c:v>43751.597222222219</c:v>
                </c:pt>
                <c:pt idx="51">
                  <c:v>43751.604166666664</c:v>
                </c:pt>
                <c:pt idx="52">
                  <c:v>43751.611111111109</c:v>
                </c:pt>
                <c:pt idx="53">
                  <c:v>43751.618055555555</c:v>
                </c:pt>
                <c:pt idx="54">
                  <c:v>43751.625</c:v>
                </c:pt>
                <c:pt idx="55">
                  <c:v>43751.631944444445</c:v>
                </c:pt>
                <c:pt idx="56">
                  <c:v>43751.638888888891</c:v>
                </c:pt>
                <c:pt idx="57">
                  <c:v>43751.645833333336</c:v>
                </c:pt>
                <c:pt idx="58">
                  <c:v>43751.652777777781</c:v>
                </c:pt>
                <c:pt idx="59">
                  <c:v>43751.659722222219</c:v>
                </c:pt>
                <c:pt idx="60">
                  <c:v>43751.666666666664</c:v>
                </c:pt>
                <c:pt idx="61">
                  <c:v>43751.673611111109</c:v>
                </c:pt>
                <c:pt idx="62">
                  <c:v>43751.680555555555</c:v>
                </c:pt>
                <c:pt idx="63">
                  <c:v>43751.6875</c:v>
                </c:pt>
                <c:pt idx="64">
                  <c:v>43751.694444444445</c:v>
                </c:pt>
                <c:pt idx="65">
                  <c:v>43751.701388888891</c:v>
                </c:pt>
                <c:pt idx="66">
                  <c:v>43751.708333333336</c:v>
                </c:pt>
                <c:pt idx="67">
                  <c:v>43751.715277777781</c:v>
                </c:pt>
                <c:pt idx="68">
                  <c:v>43751.722222222219</c:v>
                </c:pt>
                <c:pt idx="69">
                  <c:v>43751.729166666664</c:v>
                </c:pt>
                <c:pt idx="70">
                  <c:v>43751.736111111109</c:v>
                </c:pt>
                <c:pt idx="71">
                  <c:v>43751.743055555555</c:v>
                </c:pt>
                <c:pt idx="72">
                  <c:v>43751.75</c:v>
                </c:pt>
              </c:numCache>
            </c:numRef>
          </c:xVal>
          <c:yVal>
            <c:numRef>
              <c:f>Main_Day1!$V$6:$V$78</c:f>
              <c:numCache>
                <c:formatCode>General</c:formatCode>
                <c:ptCount val="73"/>
                <c:pt idx="0">
                  <c:v>4.9000000000000004</c:v>
                </c:pt>
                <c:pt idx="1">
                  <c:v>18</c:v>
                </c:pt>
                <c:pt idx="2">
                  <c:v>37.549999999999997</c:v>
                </c:pt>
                <c:pt idx="3">
                  <c:v>60.9</c:v>
                </c:pt>
                <c:pt idx="4">
                  <c:v>86.55</c:v>
                </c:pt>
                <c:pt idx="5">
                  <c:v>113.55</c:v>
                </c:pt>
                <c:pt idx="6">
                  <c:v>141.30000000000001</c:v>
                </c:pt>
                <c:pt idx="7">
                  <c:v>169.45</c:v>
                </c:pt>
                <c:pt idx="8">
                  <c:v>197.75</c:v>
                </c:pt>
                <c:pt idx="9">
                  <c:v>225.95</c:v>
                </c:pt>
                <c:pt idx="10">
                  <c:v>253.95</c:v>
                </c:pt>
                <c:pt idx="11">
                  <c:v>281.55</c:v>
                </c:pt>
                <c:pt idx="12">
                  <c:v>308.75</c:v>
                </c:pt>
                <c:pt idx="13">
                  <c:v>335.35</c:v>
                </c:pt>
                <c:pt idx="14">
                  <c:v>361.35</c:v>
                </c:pt>
                <c:pt idx="15">
                  <c:v>386.65</c:v>
                </c:pt>
                <c:pt idx="16">
                  <c:v>411.2</c:v>
                </c:pt>
                <c:pt idx="17">
                  <c:v>434.9</c:v>
                </c:pt>
                <c:pt idx="18">
                  <c:v>457.7</c:v>
                </c:pt>
                <c:pt idx="19">
                  <c:v>479.55</c:v>
                </c:pt>
                <c:pt idx="20">
                  <c:v>500.45</c:v>
                </c:pt>
                <c:pt idx="21">
                  <c:v>520.25</c:v>
                </c:pt>
                <c:pt idx="22">
                  <c:v>539.04999999999995</c:v>
                </c:pt>
                <c:pt idx="23">
                  <c:v>556.70000000000005</c:v>
                </c:pt>
                <c:pt idx="24">
                  <c:v>573.15</c:v>
                </c:pt>
                <c:pt idx="25">
                  <c:v>588.45000000000005</c:v>
                </c:pt>
                <c:pt idx="26">
                  <c:v>602.5</c:v>
                </c:pt>
                <c:pt idx="27">
                  <c:v>615.35</c:v>
                </c:pt>
                <c:pt idx="28">
                  <c:v>626.9</c:v>
                </c:pt>
                <c:pt idx="29">
                  <c:v>637.1</c:v>
                </c:pt>
                <c:pt idx="30">
                  <c:v>646.04999999999995</c:v>
                </c:pt>
                <c:pt idx="31">
                  <c:v>653.6</c:v>
                </c:pt>
                <c:pt idx="32">
                  <c:v>659.8</c:v>
                </c:pt>
                <c:pt idx="33">
                  <c:v>664.65</c:v>
                </c:pt>
                <c:pt idx="34">
                  <c:v>668.15</c:v>
                </c:pt>
                <c:pt idx="35">
                  <c:v>670.25</c:v>
                </c:pt>
                <c:pt idx="36">
                  <c:v>670.9</c:v>
                </c:pt>
                <c:pt idx="37">
                  <c:v>1340.5</c:v>
                </c:pt>
                <c:pt idx="38">
                  <c:v>1336.3</c:v>
                </c:pt>
                <c:pt idx="39">
                  <c:v>1329.3</c:v>
                </c:pt>
                <c:pt idx="40">
                  <c:v>1319.7</c:v>
                </c:pt>
                <c:pt idx="41">
                  <c:v>1307.2</c:v>
                </c:pt>
                <c:pt idx="42">
                  <c:v>1292.0999999999999</c:v>
                </c:pt>
                <c:pt idx="43">
                  <c:v>1274.3</c:v>
                </c:pt>
                <c:pt idx="44">
                  <c:v>1253.8</c:v>
                </c:pt>
                <c:pt idx="45">
                  <c:v>1230.7</c:v>
                </c:pt>
                <c:pt idx="46">
                  <c:v>1205.0999999999999</c:v>
                </c:pt>
                <c:pt idx="47">
                  <c:v>1176.9000000000001</c:v>
                </c:pt>
                <c:pt idx="48">
                  <c:v>1146.4000000000001</c:v>
                </c:pt>
                <c:pt idx="49">
                  <c:v>1113.4000000000001</c:v>
                </c:pt>
                <c:pt idx="50">
                  <c:v>1078.0999999999999</c:v>
                </c:pt>
                <c:pt idx="51">
                  <c:v>1040.5999999999999</c:v>
                </c:pt>
                <c:pt idx="52">
                  <c:v>1000.9</c:v>
                </c:pt>
                <c:pt idx="53">
                  <c:v>959.1</c:v>
                </c:pt>
                <c:pt idx="54">
                  <c:v>915.4</c:v>
                </c:pt>
                <c:pt idx="55">
                  <c:v>869.8</c:v>
                </c:pt>
                <c:pt idx="56">
                  <c:v>822.4</c:v>
                </c:pt>
                <c:pt idx="57">
                  <c:v>773.4</c:v>
                </c:pt>
                <c:pt idx="58">
                  <c:v>722.8</c:v>
                </c:pt>
                <c:pt idx="59">
                  <c:v>670.8</c:v>
                </c:pt>
                <c:pt idx="60">
                  <c:v>617.5</c:v>
                </c:pt>
                <c:pt idx="61">
                  <c:v>563.20000000000005</c:v>
                </c:pt>
                <c:pt idx="62">
                  <c:v>507.9</c:v>
                </c:pt>
                <c:pt idx="63">
                  <c:v>452</c:v>
                </c:pt>
                <c:pt idx="64">
                  <c:v>395.5</c:v>
                </c:pt>
                <c:pt idx="65">
                  <c:v>339</c:v>
                </c:pt>
                <c:pt idx="66">
                  <c:v>282.7</c:v>
                </c:pt>
                <c:pt idx="67">
                  <c:v>227.1</c:v>
                </c:pt>
                <c:pt idx="68">
                  <c:v>173.2</c:v>
                </c:pt>
                <c:pt idx="69">
                  <c:v>121.9</c:v>
                </c:pt>
                <c:pt idx="70">
                  <c:v>75.099999999999994</c:v>
                </c:pt>
                <c:pt idx="71">
                  <c:v>36</c:v>
                </c:pt>
                <c:pt idx="72">
                  <c:v>9.8000000000000007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CC8B-4D22-8AC3-0F79D3D40A93}"/>
            </c:ext>
          </c:extLst>
        </c:ser>
        <c:ser>
          <c:idx val="3"/>
          <c:order val="3"/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Main_Day1!$S$6:$S$78</c:f>
              <c:numCache>
                <c:formatCode>yyyy/m/d\ h:mm;@</c:formatCode>
                <c:ptCount val="73"/>
                <c:pt idx="0">
                  <c:v>43751.25</c:v>
                </c:pt>
                <c:pt idx="1">
                  <c:v>43751.256944444445</c:v>
                </c:pt>
                <c:pt idx="2">
                  <c:v>43751.263888888891</c:v>
                </c:pt>
                <c:pt idx="3">
                  <c:v>43751.270833333336</c:v>
                </c:pt>
                <c:pt idx="4">
                  <c:v>43751.277777777781</c:v>
                </c:pt>
                <c:pt idx="5">
                  <c:v>43751.284722222219</c:v>
                </c:pt>
                <c:pt idx="6">
                  <c:v>43751.291666666664</c:v>
                </c:pt>
                <c:pt idx="7">
                  <c:v>43751.298611111109</c:v>
                </c:pt>
                <c:pt idx="8">
                  <c:v>43751.305555555555</c:v>
                </c:pt>
                <c:pt idx="9">
                  <c:v>43751.3125</c:v>
                </c:pt>
                <c:pt idx="10">
                  <c:v>43751.319444444445</c:v>
                </c:pt>
                <c:pt idx="11">
                  <c:v>43751.326388888891</c:v>
                </c:pt>
                <c:pt idx="12">
                  <c:v>43751.333333333336</c:v>
                </c:pt>
                <c:pt idx="13">
                  <c:v>43751.340277777781</c:v>
                </c:pt>
                <c:pt idx="14">
                  <c:v>43751.347222222219</c:v>
                </c:pt>
                <c:pt idx="15">
                  <c:v>43751.354166666664</c:v>
                </c:pt>
                <c:pt idx="16">
                  <c:v>43751.361111111109</c:v>
                </c:pt>
                <c:pt idx="17">
                  <c:v>43751.368055555555</c:v>
                </c:pt>
                <c:pt idx="18">
                  <c:v>43751.375</c:v>
                </c:pt>
                <c:pt idx="19">
                  <c:v>43751.381944444445</c:v>
                </c:pt>
                <c:pt idx="20">
                  <c:v>43751.388888888891</c:v>
                </c:pt>
                <c:pt idx="21">
                  <c:v>43751.395833333336</c:v>
                </c:pt>
                <c:pt idx="22">
                  <c:v>43751.402777777781</c:v>
                </c:pt>
                <c:pt idx="23">
                  <c:v>43751.409722222219</c:v>
                </c:pt>
                <c:pt idx="24">
                  <c:v>43751.416666666664</c:v>
                </c:pt>
                <c:pt idx="25">
                  <c:v>43751.423611111109</c:v>
                </c:pt>
                <c:pt idx="26">
                  <c:v>43751.430555555555</c:v>
                </c:pt>
                <c:pt idx="27">
                  <c:v>43751.4375</c:v>
                </c:pt>
                <c:pt idx="28">
                  <c:v>43751.444444444445</c:v>
                </c:pt>
                <c:pt idx="29">
                  <c:v>43751.451388888891</c:v>
                </c:pt>
                <c:pt idx="30">
                  <c:v>43751.458333333336</c:v>
                </c:pt>
                <c:pt idx="31">
                  <c:v>43751.465277777781</c:v>
                </c:pt>
                <c:pt idx="32">
                  <c:v>43751.472222222219</c:v>
                </c:pt>
                <c:pt idx="33">
                  <c:v>43751.479166666664</c:v>
                </c:pt>
                <c:pt idx="34">
                  <c:v>43751.486111111109</c:v>
                </c:pt>
                <c:pt idx="35">
                  <c:v>43751.493055555555</c:v>
                </c:pt>
                <c:pt idx="36">
                  <c:v>43751.5</c:v>
                </c:pt>
                <c:pt idx="37">
                  <c:v>43751.506944444445</c:v>
                </c:pt>
                <c:pt idx="38">
                  <c:v>43751.513888888891</c:v>
                </c:pt>
                <c:pt idx="39">
                  <c:v>43751.520833333336</c:v>
                </c:pt>
                <c:pt idx="40">
                  <c:v>43751.527777777781</c:v>
                </c:pt>
                <c:pt idx="41">
                  <c:v>43751.534722222219</c:v>
                </c:pt>
                <c:pt idx="42">
                  <c:v>43751.541666666664</c:v>
                </c:pt>
                <c:pt idx="43">
                  <c:v>43751.548611111109</c:v>
                </c:pt>
                <c:pt idx="44">
                  <c:v>43751.555555555555</c:v>
                </c:pt>
                <c:pt idx="45">
                  <c:v>43751.5625</c:v>
                </c:pt>
                <c:pt idx="46">
                  <c:v>43751.569444444445</c:v>
                </c:pt>
                <c:pt idx="47">
                  <c:v>43751.576388888891</c:v>
                </c:pt>
                <c:pt idx="48">
                  <c:v>43751.583333333336</c:v>
                </c:pt>
                <c:pt idx="49">
                  <c:v>43751.590277777781</c:v>
                </c:pt>
                <c:pt idx="50">
                  <c:v>43751.597222222219</c:v>
                </c:pt>
                <c:pt idx="51">
                  <c:v>43751.604166666664</c:v>
                </c:pt>
                <c:pt idx="52">
                  <c:v>43751.611111111109</c:v>
                </c:pt>
                <c:pt idx="53">
                  <c:v>43751.618055555555</c:v>
                </c:pt>
                <c:pt idx="54">
                  <c:v>43751.625</c:v>
                </c:pt>
                <c:pt idx="55">
                  <c:v>43751.631944444445</c:v>
                </c:pt>
                <c:pt idx="56">
                  <c:v>43751.638888888891</c:v>
                </c:pt>
                <c:pt idx="57">
                  <c:v>43751.645833333336</c:v>
                </c:pt>
                <c:pt idx="58">
                  <c:v>43751.652777777781</c:v>
                </c:pt>
                <c:pt idx="59">
                  <c:v>43751.659722222219</c:v>
                </c:pt>
                <c:pt idx="60">
                  <c:v>43751.666666666664</c:v>
                </c:pt>
                <c:pt idx="61">
                  <c:v>43751.673611111109</c:v>
                </c:pt>
                <c:pt idx="62">
                  <c:v>43751.680555555555</c:v>
                </c:pt>
                <c:pt idx="63">
                  <c:v>43751.6875</c:v>
                </c:pt>
                <c:pt idx="64">
                  <c:v>43751.694444444445</c:v>
                </c:pt>
                <c:pt idx="65">
                  <c:v>43751.701388888891</c:v>
                </c:pt>
                <c:pt idx="66">
                  <c:v>43751.708333333336</c:v>
                </c:pt>
                <c:pt idx="67">
                  <c:v>43751.715277777781</c:v>
                </c:pt>
                <c:pt idx="68">
                  <c:v>43751.722222222219</c:v>
                </c:pt>
                <c:pt idx="69">
                  <c:v>43751.729166666664</c:v>
                </c:pt>
                <c:pt idx="70">
                  <c:v>43751.736111111109</c:v>
                </c:pt>
                <c:pt idx="71">
                  <c:v>43751.743055555555</c:v>
                </c:pt>
                <c:pt idx="72">
                  <c:v>43751.75</c:v>
                </c:pt>
              </c:numCache>
            </c:numRef>
          </c:xVal>
          <c:yVal>
            <c:numRef>
              <c:f>Main_Day1!$W$6:$W$78</c:f>
              <c:numCache>
                <c:formatCode>General</c:formatCode>
                <c:ptCount val="7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-705.01312277163879</c:v>
                </c:pt>
                <c:pt idx="13">
                  <c:v>-705.01312277163879</c:v>
                </c:pt>
                <c:pt idx="14">
                  <c:v>-705.01312277163879</c:v>
                </c:pt>
                <c:pt idx="15">
                  <c:v>-705.01312277163879</c:v>
                </c:pt>
                <c:pt idx="16">
                  <c:v>-705.01312277163879</c:v>
                </c:pt>
                <c:pt idx="17">
                  <c:v>-705.01312277163879</c:v>
                </c:pt>
                <c:pt idx="18">
                  <c:v>-705.01312277163879</c:v>
                </c:pt>
                <c:pt idx="19">
                  <c:v>-705.01312277163879</c:v>
                </c:pt>
                <c:pt idx="20">
                  <c:v>-705.01312277163879</c:v>
                </c:pt>
                <c:pt idx="21">
                  <c:v>-705.01312277163879</c:v>
                </c:pt>
                <c:pt idx="22">
                  <c:v>-705.01312277163879</c:v>
                </c:pt>
                <c:pt idx="23">
                  <c:v>-705.01312277163879</c:v>
                </c:pt>
                <c:pt idx="24">
                  <c:v>-705.01312277163879</c:v>
                </c:pt>
                <c:pt idx="25">
                  <c:v>-705.01312277163879</c:v>
                </c:pt>
                <c:pt idx="26">
                  <c:v>-705.01312277163879</c:v>
                </c:pt>
                <c:pt idx="27">
                  <c:v>-705.01312277163879</c:v>
                </c:pt>
                <c:pt idx="28">
                  <c:v>-705.01312277163879</c:v>
                </c:pt>
                <c:pt idx="29">
                  <c:v>-705.01312277163879</c:v>
                </c:pt>
                <c:pt idx="30">
                  <c:v>-705.01312277163879</c:v>
                </c:pt>
                <c:pt idx="31">
                  <c:v>-705.01312277163879</c:v>
                </c:pt>
                <c:pt idx="32">
                  <c:v>-705.01312277163879</c:v>
                </c:pt>
                <c:pt idx="33">
                  <c:v>-705.01312277163879</c:v>
                </c:pt>
                <c:pt idx="34">
                  <c:v>-705.01312277163879</c:v>
                </c:pt>
                <c:pt idx="35">
                  <c:v>-705.01312277163879</c:v>
                </c:pt>
                <c:pt idx="36">
                  <c:v>-705.01312277163879</c:v>
                </c:pt>
                <c:pt idx="37">
                  <c:v>-523.6009579884186</c:v>
                </c:pt>
                <c:pt idx="38">
                  <c:v>-523.6009579884186</c:v>
                </c:pt>
                <c:pt idx="39">
                  <c:v>-523.6009579884186</c:v>
                </c:pt>
                <c:pt idx="40">
                  <c:v>-523.6009579884186</c:v>
                </c:pt>
                <c:pt idx="41">
                  <c:v>-523.6009579884186</c:v>
                </c:pt>
                <c:pt idx="42">
                  <c:v>-523.6009579884186</c:v>
                </c:pt>
                <c:pt idx="43">
                  <c:v>-523.6009579884186</c:v>
                </c:pt>
                <c:pt idx="44">
                  <c:v>-523.6009579884186</c:v>
                </c:pt>
                <c:pt idx="45">
                  <c:v>-523.6009579884186</c:v>
                </c:pt>
                <c:pt idx="46">
                  <c:v>-523.6009579884186</c:v>
                </c:pt>
                <c:pt idx="47">
                  <c:v>-523.6009579884186</c:v>
                </c:pt>
                <c:pt idx="48">
                  <c:v>-523.6009579884186</c:v>
                </c:pt>
                <c:pt idx="49">
                  <c:v>-523.6009579884186</c:v>
                </c:pt>
                <c:pt idx="50">
                  <c:v>-523.6009579884186</c:v>
                </c:pt>
                <c:pt idx="51">
                  <c:v>-523.6009579884186</c:v>
                </c:pt>
                <c:pt idx="52">
                  <c:v>-523.6009579884186</c:v>
                </c:pt>
                <c:pt idx="53">
                  <c:v>-523.6009579884186</c:v>
                </c:pt>
                <c:pt idx="54">
                  <c:v>-523.6009579884186</c:v>
                </c:pt>
                <c:pt idx="55">
                  <c:v>-523.6009579884186</c:v>
                </c:pt>
                <c:pt idx="56">
                  <c:v>-523.6009579884186</c:v>
                </c:pt>
                <c:pt idx="57">
                  <c:v>-523.6009579884186</c:v>
                </c:pt>
                <c:pt idx="58">
                  <c:v>-523.6009579884186</c:v>
                </c:pt>
                <c:pt idx="59">
                  <c:v>-523.6009579884186</c:v>
                </c:pt>
                <c:pt idx="60">
                  <c:v>-523.6009579884186</c:v>
                </c:pt>
                <c:pt idx="61">
                  <c:v>-523.6009579884186</c:v>
                </c:pt>
                <c:pt idx="62">
                  <c:v>-523.6009579884186</c:v>
                </c:pt>
                <c:pt idx="63">
                  <c:v>-523.6009579884186</c:v>
                </c:pt>
                <c:pt idx="64">
                  <c:v>-523.6009579884186</c:v>
                </c:pt>
                <c:pt idx="65">
                  <c:v>-523.6009579884186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CC8B-4D22-8AC3-0F79D3D40A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7570160"/>
        <c:axId val="623835216"/>
      </c:scatterChart>
      <c:valAx>
        <c:axId val="49757016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yyyy/m/d\ h: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23835216"/>
        <c:crosses val="autoZero"/>
        <c:crossBetween val="midCat"/>
      </c:valAx>
      <c:valAx>
        <c:axId val="6238352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9757016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ja-JP"/>
              <a:t>P-t</a:t>
            </a:r>
            <a:r>
              <a:rPr lang="en-US" altLang="ja-JP" baseline="0"/>
              <a:t> </a:t>
            </a:r>
            <a:r>
              <a:rPr lang="ja-JP" altLang="en-US" baseline="0"/>
              <a:t>図</a:t>
            </a:r>
            <a:r>
              <a:rPr lang="en-US" altLang="ja-JP" baseline="0"/>
              <a:t>_</a:t>
            </a:r>
            <a:r>
              <a:rPr lang="ja-JP" altLang="en-US" baseline="0"/>
              <a:t>スタート</a:t>
            </a:r>
            <a:endParaRPr lang="ja-JP" alt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>
        <c:manualLayout>
          <c:layoutTarget val="inner"/>
          <c:xMode val="edge"/>
          <c:yMode val="edge"/>
          <c:x val="8.7602861741080437E-2"/>
          <c:y val="0.17787034540761504"/>
          <c:w val="0.85822808292714003"/>
          <c:h val="0.69789023630436942"/>
        </c:manualLayout>
      </c:layout>
      <c:scatterChart>
        <c:scatterStyle val="smoothMarker"/>
        <c:varyColors val="0"/>
        <c:ser>
          <c:idx val="1"/>
          <c:order val="1"/>
          <c:tx>
            <c:strRef>
              <c:f>Main_Day1!$U$5</c:f>
              <c:strCache>
                <c:ptCount val="1"/>
                <c:pt idx="0">
                  <c:v>PB[W]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Main_Day1!$S$6:$S$78</c:f>
              <c:numCache>
                <c:formatCode>yyyy/m/d\ h:mm;@</c:formatCode>
                <c:ptCount val="73"/>
                <c:pt idx="0">
                  <c:v>43751.25</c:v>
                </c:pt>
                <c:pt idx="1">
                  <c:v>43751.256944444445</c:v>
                </c:pt>
                <c:pt idx="2">
                  <c:v>43751.263888888891</c:v>
                </c:pt>
                <c:pt idx="3">
                  <c:v>43751.270833333336</c:v>
                </c:pt>
                <c:pt idx="4">
                  <c:v>43751.277777777781</c:v>
                </c:pt>
                <c:pt idx="5">
                  <c:v>43751.284722222219</c:v>
                </c:pt>
                <c:pt idx="6">
                  <c:v>43751.291666666664</c:v>
                </c:pt>
                <c:pt idx="7">
                  <c:v>43751.298611111109</c:v>
                </c:pt>
                <c:pt idx="8">
                  <c:v>43751.305555555555</c:v>
                </c:pt>
                <c:pt idx="9">
                  <c:v>43751.3125</c:v>
                </c:pt>
                <c:pt idx="10">
                  <c:v>43751.319444444445</c:v>
                </c:pt>
                <c:pt idx="11">
                  <c:v>43751.326388888891</c:v>
                </c:pt>
                <c:pt idx="12">
                  <c:v>43751.333333333336</c:v>
                </c:pt>
                <c:pt idx="13">
                  <c:v>43751.340277777781</c:v>
                </c:pt>
                <c:pt idx="14">
                  <c:v>43751.347222222219</c:v>
                </c:pt>
                <c:pt idx="15">
                  <c:v>43751.354166666664</c:v>
                </c:pt>
                <c:pt idx="16">
                  <c:v>43751.361111111109</c:v>
                </c:pt>
                <c:pt idx="17">
                  <c:v>43751.368055555555</c:v>
                </c:pt>
                <c:pt idx="18">
                  <c:v>43751.375</c:v>
                </c:pt>
                <c:pt idx="19">
                  <c:v>43751.381944444445</c:v>
                </c:pt>
                <c:pt idx="20">
                  <c:v>43751.388888888891</c:v>
                </c:pt>
                <c:pt idx="21">
                  <c:v>43751.395833333336</c:v>
                </c:pt>
                <c:pt idx="22">
                  <c:v>43751.402777777781</c:v>
                </c:pt>
                <c:pt idx="23">
                  <c:v>43751.409722222219</c:v>
                </c:pt>
                <c:pt idx="24">
                  <c:v>43751.416666666664</c:v>
                </c:pt>
                <c:pt idx="25">
                  <c:v>43751.423611111109</c:v>
                </c:pt>
                <c:pt idx="26">
                  <c:v>43751.430555555555</c:v>
                </c:pt>
                <c:pt idx="27">
                  <c:v>43751.4375</c:v>
                </c:pt>
                <c:pt idx="28">
                  <c:v>43751.444444444445</c:v>
                </c:pt>
                <c:pt idx="29">
                  <c:v>43751.451388888891</c:v>
                </c:pt>
                <c:pt idx="30">
                  <c:v>43751.458333333336</c:v>
                </c:pt>
                <c:pt idx="31">
                  <c:v>43751.465277777781</c:v>
                </c:pt>
                <c:pt idx="32">
                  <c:v>43751.472222222219</c:v>
                </c:pt>
                <c:pt idx="33">
                  <c:v>43751.479166666664</c:v>
                </c:pt>
                <c:pt idx="34">
                  <c:v>43751.486111111109</c:v>
                </c:pt>
                <c:pt idx="35">
                  <c:v>43751.493055555555</c:v>
                </c:pt>
                <c:pt idx="36">
                  <c:v>43751.5</c:v>
                </c:pt>
                <c:pt idx="37">
                  <c:v>43751.506944444445</c:v>
                </c:pt>
                <c:pt idx="38">
                  <c:v>43751.513888888891</c:v>
                </c:pt>
                <c:pt idx="39">
                  <c:v>43751.520833333336</c:v>
                </c:pt>
                <c:pt idx="40">
                  <c:v>43751.527777777781</c:v>
                </c:pt>
                <c:pt idx="41">
                  <c:v>43751.534722222219</c:v>
                </c:pt>
                <c:pt idx="42">
                  <c:v>43751.541666666664</c:v>
                </c:pt>
                <c:pt idx="43">
                  <c:v>43751.548611111109</c:v>
                </c:pt>
                <c:pt idx="44">
                  <c:v>43751.555555555555</c:v>
                </c:pt>
                <c:pt idx="45">
                  <c:v>43751.5625</c:v>
                </c:pt>
                <c:pt idx="46">
                  <c:v>43751.569444444445</c:v>
                </c:pt>
                <c:pt idx="47">
                  <c:v>43751.576388888891</c:v>
                </c:pt>
                <c:pt idx="48">
                  <c:v>43751.583333333336</c:v>
                </c:pt>
                <c:pt idx="49">
                  <c:v>43751.590277777781</c:v>
                </c:pt>
                <c:pt idx="50">
                  <c:v>43751.597222222219</c:v>
                </c:pt>
                <c:pt idx="51">
                  <c:v>43751.604166666664</c:v>
                </c:pt>
                <c:pt idx="52">
                  <c:v>43751.611111111109</c:v>
                </c:pt>
                <c:pt idx="53">
                  <c:v>43751.618055555555</c:v>
                </c:pt>
                <c:pt idx="54">
                  <c:v>43751.625</c:v>
                </c:pt>
                <c:pt idx="55">
                  <c:v>43751.631944444445</c:v>
                </c:pt>
                <c:pt idx="56">
                  <c:v>43751.638888888891</c:v>
                </c:pt>
                <c:pt idx="57">
                  <c:v>43751.645833333336</c:v>
                </c:pt>
                <c:pt idx="58">
                  <c:v>43751.652777777781</c:v>
                </c:pt>
                <c:pt idx="59">
                  <c:v>43751.659722222219</c:v>
                </c:pt>
                <c:pt idx="60">
                  <c:v>43751.666666666664</c:v>
                </c:pt>
                <c:pt idx="61">
                  <c:v>43751.673611111109</c:v>
                </c:pt>
                <c:pt idx="62">
                  <c:v>43751.680555555555</c:v>
                </c:pt>
                <c:pt idx="63">
                  <c:v>43751.6875</c:v>
                </c:pt>
                <c:pt idx="64">
                  <c:v>43751.694444444445</c:v>
                </c:pt>
                <c:pt idx="65">
                  <c:v>43751.701388888891</c:v>
                </c:pt>
                <c:pt idx="66">
                  <c:v>43751.708333333336</c:v>
                </c:pt>
                <c:pt idx="67">
                  <c:v>43751.715277777781</c:v>
                </c:pt>
                <c:pt idx="68">
                  <c:v>43751.722222222219</c:v>
                </c:pt>
                <c:pt idx="69">
                  <c:v>43751.729166666664</c:v>
                </c:pt>
                <c:pt idx="70">
                  <c:v>43751.736111111109</c:v>
                </c:pt>
                <c:pt idx="71">
                  <c:v>43751.743055555555</c:v>
                </c:pt>
                <c:pt idx="72">
                  <c:v>43751.75</c:v>
                </c:pt>
              </c:numCache>
            </c:numRef>
          </c:xVal>
          <c:yVal>
            <c:numRef>
              <c:f>Main_Day1!$U$6:$U$78</c:f>
              <c:numCache>
                <c:formatCode>General</c:formatCode>
                <c:ptCount val="73"/>
                <c:pt idx="0">
                  <c:v>4.9000000000000004</c:v>
                </c:pt>
                <c:pt idx="1">
                  <c:v>18</c:v>
                </c:pt>
                <c:pt idx="2">
                  <c:v>37.549999999999997</c:v>
                </c:pt>
                <c:pt idx="3">
                  <c:v>60.9</c:v>
                </c:pt>
                <c:pt idx="4">
                  <c:v>86.55</c:v>
                </c:pt>
                <c:pt idx="5">
                  <c:v>113.55</c:v>
                </c:pt>
                <c:pt idx="6">
                  <c:v>141.30000000000001</c:v>
                </c:pt>
                <c:pt idx="7">
                  <c:v>169.45</c:v>
                </c:pt>
                <c:pt idx="8">
                  <c:v>197.75</c:v>
                </c:pt>
                <c:pt idx="9">
                  <c:v>225.95</c:v>
                </c:pt>
                <c:pt idx="10">
                  <c:v>253.95</c:v>
                </c:pt>
                <c:pt idx="11">
                  <c:v>281.55</c:v>
                </c:pt>
                <c:pt idx="12">
                  <c:v>-396.26312277163879</c:v>
                </c:pt>
                <c:pt idx="13">
                  <c:v>-369.66312277163877</c:v>
                </c:pt>
                <c:pt idx="14">
                  <c:v>-343.66312277163877</c:v>
                </c:pt>
                <c:pt idx="15">
                  <c:v>-318.36312277163881</c:v>
                </c:pt>
                <c:pt idx="16">
                  <c:v>-293.8131227716388</c:v>
                </c:pt>
                <c:pt idx="17">
                  <c:v>-270.11312277163881</c:v>
                </c:pt>
                <c:pt idx="18">
                  <c:v>-247.3131227716388</c:v>
                </c:pt>
                <c:pt idx="19">
                  <c:v>-225.46312277163878</c:v>
                </c:pt>
                <c:pt idx="20">
                  <c:v>-204.5631227716388</c:v>
                </c:pt>
                <c:pt idx="21">
                  <c:v>-184.76312277163879</c:v>
                </c:pt>
                <c:pt idx="22">
                  <c:v>-165.96312277163884</c:v>
                </c:pt>
                <c:pt idx="23">
                  <c:v>-148.31312277163875</c:v>
                </c:pt>
                <c:pt idx="24">
                  <c:v>-131.86312277163881</c:v>
                </c:pt>
                <c:pt idx="25">
                  <c:v>-116.56312277163875</c:v>
                </c:pt>
                <c:pt idx="26">
                  <c:v>-102.51312277163879</c:v>
                </c:pt>
                <c:pt idx="27">
                  <c:v>-89.663122771638768</c:v>
                </c:pt>
                <c:pt idx="28">
                  <c:v>-78.113122771638814</c:v>
                </c:pt>
                <c:pt idx="29">
                  <c:v>-67.913122771638768</c:v>
                </c:pt>
                <c:pt idx="30">
                  <c:v>-58.963122771638837</c:v>
                </c:pt>
                <c:pt idx="31">
                  <c:v>-51.413122771638768</c:v>
                </c:pt>
                <c:pt idx="32">
                  <c:v>-45.213122771638837</c:v>
                </c:pt>
                <c:pt idx="33">
                  <c:v>-40.363122771638814</c:v>
                </c:pt>
                <c:pt idx="34">
                  <c:v>-36.863122771638814</c:v>
                </c:pt>
                <c:pt idx="35">
                  <c:v>-34.763122771638791</c:v>
                </c:pt>
                <c:pt idx="36">
                  <c:v>-34.113122771638814</c:v>
                </c:pt>
                <c:pt idx="37">
                  <c:v>816.8990420115814</c:v>
                </c:pt>
                <c:pt idx="38">
                  <c:v>812.69904201158135</c:v>
                </c:pt>
                <c:pt idx="39">
                  <c:v>805.69904201158135</c:v>
                </c:pt>
                <c:pt idx="40">
                  <c:v>796.09904201158145</c:v>
                </c:pt>
                <c:pt idx="41">
                  <c:v>783.59904201158145</c:v>
                </c:pt>
                <c:pt idx="42">
                  <c:v>768.49904201158131</c:v>
                </c:pt>
                <c:pt idx="43">
                  <c:v>750.69904201158135</c:v>
                </c:pt>
                <c:pt idx="44">
                  <c:v>730.19904201158135</c:v>
                </c:pt>
                <c:pt idx="45">
                  <c:v>707.09904201158145</c:v>
                </c:pt>
                <c:pt idx="46">
                  <c:v>681.49904201158131</c:v>
                </c:pt>
                <c:pt idx="47">
                  <c:v>653.29904201158149</c:v>
                </c:pt>
                <c:pt idx="48">
                  <c:v>622.79904201158149</c:v>
                </c:pt>
                <c:pt idx="49">
                  <c:v>589.79904201158149</c:v>
                </c:pt>
                <c:pt idx="50">
                  <c:v>554.49904201158131</c:v>
                </c:pt>
                <c:pt idx="51">
                  <c:v>516.99904201158131</c:v>
                </c:pt>
                <c:pt idx="52">
                  <c:v>477.29904201158138</c:v>
                </c:pt>
                <c:pt idx="53">
                  <c:v>435.49904201158142</c:v>
                </c:pt>
                <c:pt idx="54">
                  <c:v>391.79904201158138</c:v>
                </c:pt>
                <c:pt idx="55">
                  <c:v>346.19904201158135</c:v>
                </c:pt>
                <c:pt idx="56">
                  <c:v>298.79904201158138</c:v>
                </c:pt>
                <c:pt idx="57">
                  <c:v>249.79904201158138</c:v>
                </c:pt>
                <c:pt idx="58">
                  <c:v>199.19904201158135</c:v>
                </c:pt>
                <c:pt idx="59">
                  <c:v>147.19904201158135</c:v>
                </c:pt>
                <c:pt idx="60">
                  <c:v>93.8990420115814</c:v>
                </c:pt>
                <c:pt idx="61">
                  <c:v>39.599042011581446</c:v>
                </c:pt>
                <c:pt idx="62">
                  <c:v>-15.700957988418622</c:v>
                </c:pt>
                <c:pt idx="63">
                  <c:v>-71.6009579884186</c:v>
                </c:pt>
                <c:pt idx="64">
                  <c:v>-128.1009579884186</c:v>
                </c:pt>
                <c:pt idx="65">
                  <c:v>-184.6009579884186</c:v>
                </c:pt>
                <c:pt idx="66">
                  <c:v>282.7</c:v>
                </c:pt>
                <c:pt idx="67">
                  <c:v>227.1</c:v>
                </c:pt>
                <c:pt idx="68">
                  <c:v>173.2</c:v>
                </c:pt>
                <c:pt idx="69">
                  <c:v>121.9</c:v>
                </c:pt>
                <c:pt idx="70">
                  <c:v>75.099999999999994</c:v>
                </c:pt>
                <c:pt idx="71">
                  <c:v>36</c:v>
                </c:pt>
                <c:pt idx="72">
                  <c:v>9.8000000000000007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8DD4-4E8E-A057-F1445BB65D6A}"/>
            </c:ext>
          </c:extLst>
        </c:ser>
        <c:ser>
          <c:idx val="2"/>
          <c:order val="2"/>
          <c:tx>
            <c:strRef>
              <c:f>Main_Day1!$V$5</c:f>
              <c:strCache>
                <c:ptCount val="1"/>
                <c:pt idx="0">
                  <c:v>Ps[W]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Main_Day1!$S$6:$S$78</c:f>
              <c:numCache>
                <c:formatCode>yyyy/m/d\ h:mm;@</c:formatCode>
                <c:ptCount val="73"/>
                <c:pt idx="0">
                  <c:v>43751.25</c:v>
                </c:pt>
                <c:pt idx="1">
                  <c:v>43751.256944444445</c:v>
                </c:pt>
                <c:pt idx="2">
                  <c:v>43751.263888888891</c:v>
                </c:pt>
                <c:pt idx="3">
                  <c:v>43751.270833333336</c:v>
                </c:pt>
                <c:pt idx="4">
                  <c:v>43751.277777777781</c:v>
                </c:pt>
                <c:pt idx="5">
                  <c:v>43751.284722222219</c:v>
                </c:pt>
                <c:pt idx="6">
                  <c:v>43751.291666666664</c:v>
                </c:pt>
                <c:pt idx="7">
                  <c:v>43751.298611111109</c:v>
                </c:pt>
                <c:pt idx="8">
                  <c:v>43751.305555555555</c:v>
                </c:pt>
                <c:pt idx="9">
                  <c:v>43751.3125</c:v>
                </c:pt>
                <c:pt idx="10">
                  <c:v>43751.319444444445</c:v>
                </c:pt>
                <c:pt idx="11">
                  <c:v>43751.326388888891</c:v>
                </c:pt>
                <c:pt idx="12">
                  <c:v>43751.333333333336</c:v>
                </c:pt>
                <c:pt idx="13">
                  <c:v>43751.340277777781</c:v>
                </c:pt>
                <c:pt idx="14">
                  <c:v>43751.347222222219</c:v>
                </c:pt>
                <c:pt idx="15">
                  <c:v>43751.354166666664</c:v>
                </c:pt>
                <c:pt idx="16">
                  <c:v>43751.361111111109</c:v>
                </c:pt>
                <c:pt idx="17">
                  <c:v>43751.368055555555</c:v>
                </c:pt>
                <c:pt idx="18">
                  <c:v>43751.375</c:v>
                </c:pt>
                <c:pt idx="19">
                  <c:v>43751.381944444445</c:v>
                </c:pt>
                <c:pt idx="20">
                  <c:v>43751.388888888891</c:v>
                </c:pt>
                <c:pt idx="21">
                  <c:v>43751.395833333336</c:v>
                </c:pt>
                <c:pt idx="22">
                  <c:v>43751.402777777781</c:v>
                </c:pt>
                <c:pt idx="23">
                  <c:v>43751.409722222219</c:v>
                </c:pt>
                <c:pt idx="24">
                  <c:v>43751.416666666664</c:v>
                </c:pt>
                <c:pt idx="25">
                  <c:v>43751.423611111109</c:v>
                </c:pt>
                <c:pt idx="26">
                  <c:v>43751.430555555555</c:v>
                </c:pt>
                <c:pt idx="27">
                  <c:v>43751.4375</c:v>
                </c:pt>
                <c:pt idx="28">
                  <c:v>43751.444444444445</c:v>
                </c:pt>
                <c:pt idx="29">
                  <c:v>43751.451388888891</c:v>
                </c:pt>
                <c:pt idx="30">
                  <c:v>43751.458333333336</c:v>
                </c:pt>
                <c:pt idx="31">
                  <c:v>43751.465277777781</c:v>
                </c:pt>
                <c:pt idx="32">
                  <c:v>43751.472222222219</c:v>
                </c:pt>
                <c:pt idx="33">
                  <c:v>43751.479166666664</c:v>
                </c:pt>
                <c:pt idx="34">
                  <c:v>43751.486111111109</c:v>
                </c:pt>
                <c:pt idx="35">
                  <c:v>43751.493055555555</c:v>
                </c:pt>
                <c:pt idx="36">
                  <c:v>43751.5</c:v>
                </c:pt>
                <c:pt idx="37">
                  <c:v>43751.506944444445</c:v>
                </c:pt>
                <c:pt idx="38">
                  <c:v>43751.513888888891</c:v>
                </c:pt>
                <c:pt idx="39">
                  <c:v>43751.520833333336</c:v>
                </c:pt>
                <c:pt idx="40">
                  <c:v>43751.527777777781</c:v>
                </c:pt>
                <c:pt idx="41">
                  <c:v>43751.534722222219</c:v>
                </c:pt>
                <c:pt idx="42">
                  <c:v>43751.541666666664</c:v>
                </c:pt>
                <c:pt idx="43">
                  <c:v>43751.548611111109</c:v>
                </c:pt>
                <c:pt idx="44">
                  <c:v>43751.555555555555</c:v>
                </c:pt>
                <c:pt idx="45">
                  <c:v>43751.5625</c:v>
                </c:pt>
                <c:pt idx="46">
                  <c:v>43751.569444444445</c:v>
                </c:pt>
                <c:pt idx="47">
                  <c:v>43751.576388888891</c:v>
                </c:pt>
                <c:pt idx="48">
                  <c:v>43751.583333333336</c:v>
                </c:pt>
                <c:pt idx="49">
                  <c:v>43751.590277777781</c:v>
                </c:pt>
                <c:pt idx="50">
                  <c:v>43751.597222222219</c:v>
                </c:pt>
                <c:pt idx="51">
                  <c:v>43751.604166666664</c:v>
                </c:pt>
                <c:pt idx="52">
                  <c:v>43751.611111111109</c:v>
                </c:pt>
                <c:pt idx="53">
                  <c:v>43751.618055555555</c:v>
                </c:pt>
                <c:pt idx="54">
                  <c:v>43751.625</c:v>
                </c:pt>
                <c:pt idx="55">
                  <c:v>43751.631944444445</c:v>
                </c:pt>
                <c:pt idx="56">
                  <c:v>43751.638888888891</c:v>
                </c:pt>
                <c:pt idx="57">
                  <c:v>43751.645833333336</c:v>
                </c:pt>
                <c:pt idx="58">
                  <c:v>43751.652777777781</c:v>
                </c:pt>
                <c:pt idx="59">
                  <c:v>43751.659722222219</c:v>
                </c:pt>
                <c:pt idx="60">
                  <c:v>43751.666666666664</c:v>
                </c:pt>
                <c:pt idx="61">
                  <c:v>43751.673611111109</c:v>
                </c:pt>
                <c:pt idx="62">
                  <c:v>43751.680555555555</c:v>
                </c:pt>
                <c:pt idx="63">
                  <c:v>43751.6875</c:v>
                </c:pt>
                <c:pt idx="64">
                  <c:v>43751.694444444445</c:v>
                </c:pt>
                <c:pt idx="65">
                  <c:v>43751.701388888891</c:v>
                </c:pt>
                <c:pt idx="66">
                  <c:v>43751.708333333336</c:v>
                </c:pt>
                <c:pt idx="67">
                  <c:v>43751.715277777781</c:v>
                </c:pt>
                <c:pt idx="68">
                  <c:v>43751.722222222219</c:v>
                </c:pt>
                <c:pt idx="69">
                  <c:v>43751.729166666664</c:v>
                </c:pt>
                <c:pt idx="70">
                  <c:v>43751.736111111109</c:v>
                </c:pt>
                <c:pt idx="71">
                  <c:v>43751.743055555555</c:v>
                </c:pt>
                <c:pt idx="72">
                  <c:v>43751.75</c:v>
                </c:pt>
              </c:numCache>
            </c:numRef>
          </c:xVal>
          <c:yVal>
            <c:numRef>
              <c:f>Main_Day1!$V$6:$V$78</c:f>
              <c:numCache>
                <c:formatCode>General</c:formatCode>
                <c:ptCount val="73"/>
                <c:pt idx="0">
                  <c:v>4.9000000000000004</c:v>
                </c:pt>
                <c:pt idx="1">
                  <c:v>18</c:v>
                </c:pt>
                <c:pt idx="2">
                  <c:v>37.549999999999997</c:v>
                </c:pt>
                <c:pt idx="3">
                  <c:v>60.9</c:v>
                </c:pt>
                <c:pt idx="4">
                  <c:v>86.55</c:v>
                </c:pt>
                <c:pt idx="5">
                  <c:v>113.55</c:v>
                </c:pt>
                <c:pt idx="6">
                  <c:v>141.30000000000001</c:v>
                </c:pt>
                <c:pt idx="7">
                  <c:v>169.45</c:v>
                </c:pt>
                <c:pt idx="8">
                  <c:v>197.75</c:v>
                </c:pt>
                <c:pt idx="9">
                  <c:v>225.95</c:v>
                </c:pt>
                <c:pt idx="10">
                  <c:v>253.95</c:v>
                </c:pt>
                <c:pt idx="11">
                  <c:v>281.55</c:v>
                </c:pt>
                <c:pt idx="12">
                  <c:v>308.75</c:v>
                </c:pt>
                <c:pt idx="13">
                  <c:v>335.35</c:v>
                </c:pt>
                <c:pt idx="14">
                  <c:v>361.35</c:v>
                </c:pt>
                <c:pt idx="15">
                  <c:v>386.65</c:v>
                </c:pt>
                <c:pt idx="16">
                  <c:v>411.2</c:v>
                </c:pt>
                <c:pt idx="17">
                  <c:v>434.9</c:v>
                </c:pt>
                <c:pt idx="18">
                  <c:v>457.7</c:v>
                </c:pt>
                <c:pt idx="19">
                  <c:v>479.55</c:v>
                </c:pt>
                <c:pt idx="20">
                  <c:v>500.45</c:v>
                </c:pt>
                <c:pt idx="21">
                  <c:v>520.25</c:v>
                </c:pt>
                <c:pt idx="22">
                  <c:v>539.04999999999995</c:v>
                </c:pt>
                <c:pt idx="23">
                  <c:v>556.70000000000005</c:v>
                </c:pt>
                <c:pt idx="24">
                  <c:v>573.15</c:v>
                </c:pt>
                <c:pt idx="25">
                  <c:v>588.45000000000005</c:v>
                </c:pt>
                <c:pt idx="26">
                  <c:v>602.5</c:v>
                </c:pt>
                <c:pt idx="27">
                  <c:v>615.35</c:v>
                </c:pt>
                <c:pt idx="28">
                  <c:v>626.9</c:v>
                </c:pt>
                <c:pt idx="29">
                  <c:v>637.1</c:v>
                </c:pt>
                <c:pt idx="30">
                  <c:v>646.04999999999995</c:v>
                </c:pt>
                <c:pt idx="31">
                  <c:v>653.6</c:v>
                </c:pt>
                <c:pt idx="32">
                  <c:v>659.8</c:v>
                </c:pt>
                <c:pt idx="33">
                  <c:v>664.65</c:v>
                </c:pt>
                <c:pt idx="34">
                  <c:v>668.15</c:v>
                </c:pt>
                <c:pt idx="35">
                  <c:v>670.25</c:v>
                </c:pt>
                <c:pt idx="36">
                  <c:v>670.9</c:v>
                </c:pt>
                <c:pt idx="37">
                  <c:v>1340.5</c:v>
                </c:pt>
                <c:pt idx="38">
                  <c:v>1336.3</c:v>
                </c:pt>
                <c:pt idx="39">
                  <c:v>1329.3</c:v>
                </c:pt>
                <c:pt idx="40">
                  <c:v>1319.7</c:v>
                </c:pt>
                <c:pt idx="41">
                  <c:v>1307.2</c:v>
                </c:pt>
                <c:pt idx="42">
                  <c:v>1292.0999999999999</c:v>
                </c:pt>
                <c:pt idx="43">
                  <c:v>1274.3</c:v>
                </c:pt>
                <c:pt idx="44">
                  <c:v>1253.8</c:v>
                </c:pt>
                <c:pt idx="45">
                  <c:v>1230.7</c:v>
                </c:pt>
                <c:pt idx="46">
                  <c:v>1205.0999999999999</c:v>
                </c:pt>
                <c:pt idx="47">
                  <c:v>1176.9000000000001</c:v>
                </c:pt>
                <c:pt idx="48">
                  <c:v>1146.4000000000001</c:v>
                </c:pt>
                <c:pt idx="49">
                  <c:v>1113.4000000000001</c:v>
                </c:pt>
                <c:pt idx="50">
                  <c:v>1078.0999999999999</c:v>
                </c:pt>
                <c:pt idx="51">
                  <c:v>1040.5999999999999</c:v>
                </c:pt>
                <c:pt idx="52">
                  <c:v>1000.9</c:v>
                </c:pt>
                <c:pt idx="53">
                  <c:v>959.1</c:v>
                </c:pt>
                <c:pt idx="54">
                  <c:v>915.4</c:v>
                </c:pt>
                <c:pt idx="55">
                  <c:v>869.8</c:v>
                </c:pt>
                <c:pt idx="56">
                  <c:v>822.4</c:v>
                </c:pt>
                <c:pt idx="57">
                  <c:v>773.4</c:v>
                </c:pt>
                <c:pt idx="58">
                  <c:v>722.8</c:v>
                </c:pt>
                <c:pt idx="59">
                  <c:v>670.8</c:v>
                </c:pt>
                <c:pt idx="60">
                  <c:v>617.5</c:v>
                </c:pt>
                <c:pt idx="61">
                  <c:v>563.20000000000005</c:v>
                </c:pt>
                <c:pt idx="62">
                  <c:v>507.9</c:v>
                </c:pt>
                <c:pt idx="63">
                  <c:v>452</c:v>
                </c:pt>
                <c:pt idx="64">
                  <c:v>395.5</c:v>
                </c:pt>
                <c:pt idx="65">
                  <c:v>339</c:v>
                </c:pt>
                <c:pt idx="66">
                  <c:v>282.7</c:v>
                </c:pt>
                <c:pt idx="67">
                  <c:v>227.1</c:v>
                </c:pt>
                <c:pt idx="68">
                  <c:v>173.2</c:v>
                </c:pt>
                <c:pt idx="69">
                  <c:v>121.9</c:v>
                </c:pt>
                <c:pt idx="70">
                  <c:v>75.099999999999994</c:v>
                </c:pt>
                <c:pt idx="71">
                  <c:v>36</c:v>
                </c:pt>
                <c:pt idx="72">
                  <c:v>9.8000000000000007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8DD4-4E8E-A057-F1445BB65D6A}"/>
            </c:ext>
          </c:extLst>
        </c:ser>
        <c:ser>
          <c:idx val="3"/>
          <c:order val="3"/>
          <c:tx>
            <c:strRef>
              <c:f>Main_Day1!$W$5</c:f>
              <c:strCache>
                <c:ptCount val="1"/>
                <c:pt idx="0">
                  <c:v>PM[W]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Main_Day1!$S$6:$S$78</c:f>
              <c:numCache>
                <c:formatCode>yyyy/m/d\ h:mm;@</c:formatCode>
                <c:ptCount val="73"/>
                <c:pt idx="0">
                  <c:v>43751.25</c:v>
                </c:pt>
                <c:pt idx="1">
                  <c:v>43751.256944444445</c:v>
                </c:pt>
                <c:pt idx="2">
                  <c:v>43751.263888888891</c:v>
                </c:pt>
                <c:pt idx="3">
                  <c:v>43751.270833333336</c:v>
                </c:pt>
                <c:pt idx="4">
                  <c:v>43751.277777777781</c:v>
                </c:pt>
                <c:pt idx="5">
                  <c:v>43751.284722222219</c:v>
                </c:pt>
                <c:pt idx="6">
                  <c:v>43751.291666666664</c:v>
                </c:pt>
                <c:pt idx="7">
                  <c:v>43751.298611111109</c:v>
                </c:pt>
                <c:pt idx="8">
                  <c:v>43751.305555555555</c:v>
                </c:pt>
                <c:pt idx="9">
                  <c:v>43751.3125</c:v>
                </c:pt>
                <c:pt idx="10">
                  <c:v>43751.319444444445</c:v>
                </c:pt>
                <c:pt idx="11">
                  <c:v>43751.326388888891</c:v>
                </c:pt>
                <c:pt idx="12">
                  <c:v>43751.333333333336</c:v>
                </c:pt>
                <c:pt idx="13">
                  <c:v>43751.340277777781</c:v>
                </c:pt>
                <c:pt idx="14">
                  <c:v>43751.347222222219</c:v>
                </c:pt>
                <c:pt idx="15">
                  <c:v>43751.354166666664</c:v>
                </c:pt>
                <c:pt idx="16">
                  <c:v>43751.361111111109</c:v>
                </c:pt>
                <c:pt idx="17">
                  <c:v>43751.368055555555</c:v>
                </c:pt>
                <c:pt idx="18">
                  <c:v>43751.375</c:v>
                </c:pt>
                <c:pt idx="19">
                  <c:v>43751.381944444445</c:v>
                </c:pt>
                <c:pt idx="20">
                  <c:v>43751.388888888891</c:v>
                </c:pt>
                <c:pt idx="21">
                  <c:v>43751.395833333336</c:v>
                </c:pt>
                <c:pt idx="22">
                  <c:v>43751.402777777781</c:v>
                </c:pt>
                <c:pt idx="23">
                  <c:v>43751.409722222219</c:v>
                </c:pt>
                <c:pt idx="24">
                  <c:v>43751.416666666664</c:v>
                </c:pt>
                <c:pt idx="25">
                  <c:v>43751.423611111109</c:v>
                </c:pt>
                <c:pt idx="26">
                  <c:v>43751.430555555555</c:v>
                </c:pt>
                <c:pt idx="27">
                  <c:v>43751.4375</c:v>
                </c:pt>
                <c:pt idx="28">
                  <c:v>43751.444444444445</c:v>
                </c:pt>
                <c:pt idx="29">
                  <c:v>43751.451388888891</c:v>
                </c:pt>
                <c:pt idx="30">
                  <c:v>43751.458333333336</c:v>
                </c:pt>
                <c:pt idx="31">
                  <c:v>43751.465277777781</c:v>
                </c:pt>
                <c:pt idx="32">
                  <c:v>43751.472222222219</c:v>
                </c:pt>
                <c:pt idx="33">
                  <c:v>43751.479166666664</c:v>
                </c:pt>
                <c:pt idx="34">
                  <c:v>43751.486111111109</c:v>
                </c:pt>
                <c:pt idx="35">
                  <c:v>43751.493055555555</c:v>
                </c:pt>
                <c:pt idx="36">
                  <c:v>43751.5</c:v>
                </c:pt>
                <c:pt idx="37">
                  <c:v>43751.506944444445</c:v>
                </c:pt>
                <c:pt idx="38">
                  <c:v>43751.513888888891</c:v>
                </c:pt>
                <c:pt idx="39">
                  <c:v>43751.520833333336</c:v>
                </c:pt>
                <c:pt idx="40">
                  <c:v>43751.527777777781</c:v>
                </c:pt>
                <c:pt idx="41">
                  <c:v>43751.534722222219</c:v>
                </c:pt>
                <c:pt idx="42">
                  <c:v>43751.541666666664</c:v>
                </c:pt>
                <c:pt idx="43">
                  <c:v>43751.548611111109</c:v>
                </c:pt>
                <c:pt idx="44">
                  <c:v>43751.555555555555</c:v>
                </c:pt>
                <c:pt idx="45">
                  <c:v>43751.5625</c:v>
                </c:pt>
                <c:pt idx="46">
                  <c:v>43751.569444444445</c:v>
                </c:pt>
                <c:pt idx="47">
                  <c:v>43751.576388888891</c:v>
                </c:pt>
                <c:pt idx="48">
                  <c:v>43751.583333333336</c:v>
                </c:pt>
                <c:pt idx="49">
                  <c:v>43751.590277777781</c:v>
                </c:pt>
                <c:pt idx="50">
                  <c:v>43751.597222222219</c:v>
                </c:pt>
                <c:pt idx="51">
                  <c:v>43751.604166666664</c:v>
                </c:pt>
                <c:pt idx="52">
                  <c:v>43751.611111111109</c:v>
                </c:pt>
                <c:pt idx="53">
                  <c:v>43751.618055555555</c:v>
                </c:pt>
                <c:pt idx="54">
                  <c:v>43751.625</c:v>
                </c:pt>
                <c:pt idx="55">
                  <c:v>43751.631944444445</c:v>
                </c:pt>
                <c:pt idx="56">
                  <c:v>43751.638888888891</c:v>
                </c:pt>
                <c:pt idx="57">
                  <c:v>43751.645833333336</c:v>
                </c:pt>
                <c:pt idx="58">
                  <c:v>43751.652777777781</c:v>
                </c:pt>
                <c:pt idx="59">
                  <c:v>43751.659722222219</c:v>
                </c:pt>
                <c:pt idx="60">
                  <c:v>43751.666666666664</c:v>
                </c:pt>
                <c:pt idx="61">
                  <c:v>43751.673611111109</c:v>
                </c:pt>
                <c:pt idx="62">
                  <c:v>43751.680555555555</c:v>
                </c:pt>
                <c:pt idx="63">
                  <c:v>43751.6875</c:v>
                </c:pt>
                <c:pt idx="64">
                  <c:v>43751.694444444445</c:v>
                </c:pt>
                <c:pt idx="65">
                  <c:v>43751.701388888891</c:v>
                </c:pt>
                <c:pt idx="66">
                  <c:v>43751.708333333336</c:v>
                </c:pt>
                <c:pt idx="67">
                  <c:v>43751.715277777781</c:v>
                </c:pt>
                <c:pt idx="68">
                  <c:v>43751.722222222219</c:v>
                </c:pt>
                <c:pt idx="69">
                  <c:v>43751.729166666664</c:v>
                </c:pt>
                <c:pt idx="70">
                  <c:v>43751.736111111109</c:v>
                </c:pt>
                <c:pt idx="71">
                  <c:v>43751.743055555555</c:v>
                </c:pt>
                <c:pt idx="72">
                  <c:v>43751.75</c:v>
                </c:pt>
              </c:numCache>
            </c:numRef>
          </c:xVal>
          <c:yVal>
            <c:numRef>
              <c:f>Main_Day1!$W$6:$W$78</c:f>
              <c:numCache>
                <c:formatCode>General</c:formatCode>
                <c:ptCount val="7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-705.01312277163879</c:v>
                </c:pt>
                <c:pt idx="13">
                  <c:v>-705.01312277163879</c:v>
                </c:pt>
                <c:pt idx="14">
                  <c:v>-705.01312277163879</c:v>
                </c:pt>
                <c:pt idx="15">
                  <c:v>-705.01312277163879</c:v>
                </c:pt>
                <c:pt idx="16">
                  <c:v>-705.01312277163879</c:v>
                </c:pt>
                <c:pt idx="17">
                  <c:v>-705.01312277163879</c:v>
                </c:pt>
                <c:pt idx="18">
                  <c:v>-705.01312277163879</c:v>
                </c:pt>
                <c:pt idx="19">
                  <c:v>-705.01312277163879</c:v>
                </c:pt>
                <c:pt idx="20">
                  <c:v>-705.01312277163879</c:v>
                </c:pt>
                <c:pt idx="21">
                  <c:v>-705.01312277163879</c:v>
                </c:pt>
                <c:pt idx="22">
                  <c:v>-705.01312277163879</c:v>
                </c:pt>
                <c:pt idx="23">
                  <c:v>-705.01312277163879</c:v>
                </c:pt>
                <c:pt idx="24">
                  <c:v>-705.01312277163879</c:v>
                </c:pt>
                <c:pt idx="25">
                  <c:v>-705.01312277163879</c:v>
                </c:pt>
                <c:pt idx="26">
                  <c:v>-705.01312277163879</c:v>
                </c:pt>
                <c:pt idx="27">
                  <c:v>-705.01312277163879</c:v>
                </c:pt>
                <c:pt idx="28">
                  <c:v>-705.01312277163879</c:v>
                </c:pt>
                <c:pt idx="29">
                  <c:v>-705.01312277163879</c:v>
                </c:pt>
                <c:pt idx="30">
                  <c:v>-705.01312277163879</c:v>
                </c:pt>
                <c:pt idx="31">
                  <c:v>-705.01312277163879</c:v>
                </c:pt>
                <c:pt idx="32">
                  <c:v>-705.01312277163879</c:v>
                </c:pt>
                <c:pt idx="33">
                  <c:v>-705.01312277163879</c:v>
                </c:pt>
                <c:pt idx="34">
                  <c:v>-705.01312277163879</c:v>
                </c:pt>
                <c:pt idx="35">
                  <c:v>-705.01312277163879</c:v>
                </c:pt>
                <c:pt idx="36">
                  <c:v>-705.01312277163879</c:v>
                </c:pt>
                <c:pt idx="37">
                  <c:v>-523.6009579884186</c:v>
                </c:pt>
                <c:pt idx="38">
                  <c:v>-523.6009579884186</c:v>
                </c:pt>
                <c:pt idx="39">
                  <c:v>-523.6009579884186</c:v>
                </c:pt>
                <c:pt idx="40">
                  <c:v>-523.6009579884186</c:v>
                </c:pt>
                <c:pt idx="41">
                  <c:v>-523.6009579884186</c:v>
                </c:pt>
                <c:pt idx="42">
                  <c:v>-523.6009579884186</c:v>
                </c:pt>
                <c:pt idx="43">
                  <c:v>-523.6009579884186</c:v>
                </c:pt>
                <c:pt idx="44">
                  <c:v>-523.6009579884186</c:v>
                </c:pt>
                <c:pt idx="45">
                  <c:v>-523.6009579884186</c:v>
                </c:pt>
                <c:pt idx="46">
                  <c:v>-523.6009579884186</c:v>
                </c:pt>
                <c:pt idx="47">
                  <c:v>-523.6009579884186</c:v>
                </c:pt>
                <c:pt idx="48">
                  <c:v>-523.6009579884186</c:v>
                </c:pt>
                <c:pt idx="49">
                  <c:v>-523.6009579884186</c:v>
                </c:pt>
                <c:pt idx="50">
                  <c:v>-523.6009579884186</c:v>
                </c:pt>
                <c:pt idx="51">
                  <c:v>-523.6009579884186</c:v>
                </c:pt>
                <c:pt idx="52">
                  <c:v>-523.6009579884186</c:v>
                </c:pt>
                <c:pt idx="53">
                  <c:v>-523.6009579884186</c:v>
                </c:pt>
                <c:pt idx="54">
                  <c:v>-523.6009579884186</c:v>
                </c:pt>
                <c:pt idx="55">
                  <c:v>-523.6009579884186</c:v>
                </c:pt>
                <c:pt idx="56">
                  <c:v>-523.6009579884186</c:v>
                </c:pt>
                <c:pt idx="57">
                  <c:v>-523.6009579884186</c:v>
                </c:pt>
                <c:pt idx="58">
                  <c:v>-523.6009579884186</c:v>
                </c:pt>
                <c:pt idx="59">
                  <c:v>-523.6009579884186</c:v>
                </c:pt>
                <c:pt idx="60">
                  <c:v>-523.6009579884186</c:v>
                </c:pt>
                <c:pt idx="61">
                  <c:v>-523.6009579884186</c:v>
                </c:pt>
                <c:pt idx="62">
                  <c:v>-523.6009579884186</c:v>
                </c:pt>
                <c:pt idx="63">
                  <c:v>-523.6009579884186</c:v>
                </c:pt>
                <c:pt idx="64">
                  <c:v>-523.6009579884186</c:v>
                </c:pt>
                <c:pt idx="65">
                  <c:v>-523.6009579884186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8DD4-4E8E-A057-F1445BB65D6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7570160"/>
        <c:axId val="623835216"/>
      </c:scatterChart>
      <c:scatterChart>
        <c:scatterStyle val="smoothMarker"/>
        <c:varyColors val="0"/>
        <c:ser>
          <c:idx val="0"/>
          <c:order val="0"/>
          <c:tx>
            <c:strRef>
              <c:f>Main_Day1!$T$5</c:f>
              <c:strCache>
                <c:ptCount val="1"/>
                <c:pt idx="0">
                  <c:v>バッテリ残量[kWh]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Main_Day1!$S$6:$S$78</c:f>
              <c:numCache>
                <c:formatCode>yyyy/m/d\ h:mm;@</c:formatCode>
                <c:ptCount val="73"/>
                <c:pt idx="0">
                  <c:v>43751.25</c:v>
                </c:pt>
                <c:pt idx="1">
                  <c:v>43751.256944444445</c:v>
                </c:pt>
                <c:pt idx="2">
                  <c:v>43751.263888888891</c:v>
                </c:pt>
                <c:pt idx="3">
                  <c:v>43751.270833333336</c:v>
                </c:pt>
                <c:pt idx="4">
                  <c:v>43751.277777777781</c:v>
                </c:pt>
                <c:pt idx="5">
                  <c:v>43751.284722222219</c:v>
                </c:pt>
                <c:pt idx="6">
                  <c:v>43751.291666666664</c:v>
                </c:pt>
                <c:pt idx="7">
                  <c:v>43751.298611111109</c:v>
                </c:pt>
                <c:pt idx="8">
                  <c:v>43751.305555555555</c:v>
                </c:pt>
                <c:pt idx="9">
                  <c:v>43751.3125</c:v>
                </c:pt>
                <c:pt idx="10">
                  <c:v>43751.319444444445</c:v>
                </c:pt>
                <c:pt idx="11">
                  <c:v>43751.326388888891</c:v>
                </c:pt>
                <c:pt idx="12">
                  <c:v>43751.333333333336</c:v>
                </c:pt>
                <c:pt idx="13">
                  <c:v>43751.340277777781</c:v>
                </c:pt>
                <c:pt idx="14">
                  <c:v>43751.347222222219</c:v>
                </c:pt>
                <c:pt idx="15">
                  <c:v>43751.354166666664</c:v>
                </c:pt>
                <c:pt idx="16">
                  <c:v>43751.361111111109</c:v>
                </c:pt>
                <c:pt idx="17">
                  <c:v>43751.368055555555</c:v>
                </c:pt>
                <c:pt idx="18">
                  <c:v>43751.375</c:v>
                </c:pt>
                <c:pt idx="19">
                  <c:v>43751.381944444445</c:v>
                </c:pt>
                <c:pt idx="20">
                  <c:v>43751.388888888891</c:v>
                </c:pt>
                <c:pt idx="21">
                  <c:v>43751.395833333336</c:v>
                </c:pt>
                <c:pt idx="22">
                  <c:v>43751.402777777781</c:v>
                </c:pt>
                <c:pt idx="23">
                  <c:v>43751.409722222219</c:v>
                </c:pt>
                <c:pt idx="24">
                  <c:v>43751.416666666664</c:v>
                </c:pt>
                <c:pt idx="25">
                  <c:v>43751.423611111109</c:v>
                </c:pt>
                <c:pt idx="26">
                  <c:v>43751.430555555555</c:v>
                </c:pt>
                <c:pt idx="27">
                  <c:v>43751.4375</c:v>
                </c:pt>
                <c:pt idx="28">
                  <c:v>43751.444444444445</c:v>
                </c:pt>
                <c:pt idx="29">
                  <c:v>43751.451388888891</c:v>
                </c:pt>
                <c:pt idx="30">
                  <c:v>43751.458333333336</c:v>
                </c:pt>
                <c:pt idx="31">
                  <c:v>43751.465277777781</c:v>
                </c:pt>
                <c:pt idx="32">
                  <c:v>43751.472222222219</c:v>
                </c:pt>
                <c:pt idx="33">
                  <c:v>43751.479166666664</c:v>
                </c:pt>
                <c:pt idx="34">
                  <c:v>43751.486111111109</c:v>
                </c:pt>
                <c:pt idx="35">
                  <c:v>43751.493055555555</c:v>
                </c:pt>
                <c:pt idx="36">
                  <c:v>43751.5</c:v>
                </c:pt>
                <c:pt idx="37">
                  <c:v>43751.506944444445</c:v>
                </c:pt>
                <c:pt idx="38">
                  <c:v>43751.513888888891</c:v>
                </c:pt>
                <c:pt idx="39">
                  <c:v>43751.520833333336</c:v>
                </c:pt>
                <c:pt idx="40">
                  <c:v>43751.527777777781</c:v>
                </c:pt>
                <c:pt idx="41">
                  <c:v>43751.534722222219</c:v>
                </c:pt>
                <c:pt idx="42">
                  <c:v>43751.541666666664</c:v>
                </c:pt>
                <c:pt idx="43">
                  <c:v>43751.548611111109</c:v>
                </c:pt>
                <c:pt idx="44">
                  <c:v>43751.555555555555</c:v>
                </c:pt>
                <c:pt idx="45">
                  <c:v>43751.5625</c:v>
                </c:pt>
                <c:pt idx="46">
                  <c:v>43751.569444444445</c:v>
                </c:pt>
                <c:pt idx="47">
                  <c:v>43751.576388888891</c:v>
                </c:pt>
                <c:pt idx="48">
                  <c:v>43751.583333333336</c:v>
                </c:pt>
                <c:pt idx="49">
                  <c:v>43751.590277777781</c:v>
                </c:pt>
                <c:pt idx="50">
                  <c:v>43751.597222222219</c:v>
                </c:pt>
                <c:pt idx="51">
                  <c:v>43751.604166666664</c:v>
                </c:pt>
                <c:pt idx="52">
                  <c:v>43751.611111111109</c:v>
                </c:pt>
                <c:pt idx="53">
                  <c:v>43751.618055555555</c:v>
                </c:pt>
                <c:pt idx="54">
                  <c:v>43751.625</c:v>
                </c:pt>
                <c:pt idx="55">
                  <c:v>43751.631944444445</c:v>
                </c:pt>
                <c:pt idx="56">
                  <c:v>43751.638888888891</c:v>
                </c:pt>
                <c:pt idx="57">
                  <c:v>43751.645833333336</c:v>
                </c:pt>
                <c:pt idx="58">
                  <c:v>43751.652777777781</c:v>
                </c:pt>
                <c:pt idx="59">
                  <c:v>43751.659722222219</c:v>
                </c:pt>
                <c:pt idx="60">
                  <c:v>43751.666666666664</c:v>
                </c:pt>
                <c:pt idx="61">
                  <c:v>43751.673611111109</c:v>
                </c:pt>
                <c:pt idx="62">
                  <c:v>43751.680555555555</c:v>
                </c:pt>
                <c:pt idx="63">
                  <c:v>43751.6875</c:v>
                </c:pt>
                <c:pt idx="64">
                  <c:v>43751.694444444445</c:v>
                </c:pt>
                <c:pt idx="65">
                  <c:v>43751.701388888891</c:v>
                </c:pt>
                <c:pt idx="66">
                  <c:v>43751.708333333336</c:v>
                </c:pt>
                <c:pt idx="67">
                  <c:v>43751.715277777781</c:v>
                </c:pt>
                <c:pt idx="68">
                  <c:v>43751.722222222219</c:v>
                </c:pt>
                <c:pt idx="69">
                  <c:v>43751.729166666664</c:v>
                </c:pt>
                <c:pt idx="70">
                  <c:v>43751.736111111109</c:v>
                </c:pt>
                <c:pt idx="71">
                  <c:v>43751.743055555555</c:v>
                </c:pt>
                <c:pt idx="72">
                  <c:v>43751.75</c:v>
                </c:pt>
              </c:numCache>
            </c:numRef>
          </c:xVal>
          <c:yVal>
            <c:numRef>
              <c:f>Main_Day1!$T$6:$T$78</c:f>
              <c:numCache>
                <c:formatCode>General</c:formatCode>
                <c:ptCount val="73"/>
                <c:pt idx="0">
                  <c:v>4.9999986388888891</c:v>
                </c:pt>
                <c:pt idx="1">
                  <c:v>4.9999950000000002</c:v>
                </c:pt>
                <c:pt idx="2">
                  <c:v>4.9999895694444438</c:v>
                </c:pt>
                <c:pt idx="3">
                  <c:v>4.9999830833333334</c:v>
                </c:pt>
                <c:pt idx="4">
                  <c:v>4.9999759583333336</c:v>
                </c:pt>
                <c:pt idx="5">
                  <c:v>4.999968458333333</c:v>
                </c:pt>
                <c:pt idx="6">
                  <c:v>4.9999607500000005</c:v>
                </c:pt>
                <c:pt idx="7">
                  <c:v>4.9999529305555566</c:v>
                </c:pt>
                <c:pt idx="8">
                  <c:v>4.9999450694444443</c:v>
                </c:pt>
                <c:pt idx="9">
                  <c:v>4.9999372361111112</c:v>
                </c:pt>
                <c:pt idx="10">
                  <c:v>4.9999294583333338</c:v>
                </c:pt>
                <c:pt idx="11">
                  <c:v>4.9999217916666669</c:v>
                </c:pt>
                <c:pt idx="12">
                  <c:v>5.000110073089659</c:v>
                </c:pt>
                <c:pt idx="13">
                  <c:v>5.0001026842007708</c:v>
                </c:pt>
                <c:pt idx="14">
                  <c:v>5.0000954619785478</c:v>
                </c:pt>
                <c:pt idx="15">
                  <c:v>5.0000884342007703</c:v>
                </c:pt>
                <c:pt idx="16">
                  <c:v>5.0000816147563256</c:v>
                </c:pt>
                <c:pt idx="17">
                  <c:v>5.0000750314229929</c:v>
                </c:pt>
                <c:pt idx="18">
                  <c:v>5.0000686980896587</c:v>
                </c:pt>
                <c:pt idx="19">
                  <c:v>5.0000626286452139</c:v>
                </c:pt>
                <c:pt idx="20">
                  <c:v>5.0000568230896585</c:v>
                </c:pt>
                <c:pt idx="21">
                  <c:v>5.0000513230896582</c:v>
                </c:pt>
                <c:pt idx="22">
                  <c:v>5.0000461008674364</c:v>
                </c:pt>
                <c:pt idx="23">
                  <c:v>5.0000411980896589</c:v>
                </c:pt>
                <c:pt idx="24">
                  <c:v>5.0000366286452147</c:v>
                </c:pt>
                <c:pt idx="25">
                  <c:v>5.0000323786452148</c:v>
                </c:pt>
                <c:pt idx="26">
                  <c:v>5.0000284758674365</c:v>
                </c:pt>
                <c:pt idx="27">
                  <c:v>5.0000249064229925</c:v>
                </c:pt>
                <c:pt idx="28">
                  <c:v>5.0000216980896592</c:v>
                </c:pt>
                <c:pt idx="29">
                  <c:v>5.0000188647563251</c:v>
                </c:pt>
                <c:pt idx="30">
                  <c:v>5.0000163786452143</c:v>
                </c:pt>
                <c:pt idx="31">
                  <c:v>5.0000142814229918</c:v>
                </c:pt>
                <c:pt idx="32">
                  <c:v>5.00001255920077</c:v>
                </c:pt>
                <c:pt idx="33">
                  <c:v>5.0000112119785483</c:v>
                </c:pt>
                <c:pt idx="34">
                  <c:v>5.0000102397563264</c:v>
                </c:pt>
                <c:pt idx="35">
                  <c:v>5.0000096564229919</c:v>
                </c:pt>
                <c:pt idx="36">
                  <c:v>5.0000094758674365</c:v>
                </c:pt>
                <c:pt idx="37">
                  <c:v>4.9997730835994414</c:v>
                </c:pt>
                <c:pt idx="38">
                  <c:v>4.9997742502661078</c:v>
                </c:pt>
                <c:pt idx="39">
                  <c:v>4.9997761947105523</c:v>
                </c:pt>
                <c:pt idx="40">
                  <c:v>4.9997788613772185</c:v>
                </c:pt>
                <c:pt idx="41">
                  <c:v>4.9997823335994411</c:v>
                </c:pt>
                <c:pt idx="42">
                  <c:v>4.9997865280438853</c:v>
                </c:pt>
                <c:pt idx="43">
                  <c:v>4.9997914724883303</c:v>
                </c:pt>
                <c:pt idx="44">
                  <c:v>4.9997971669327743</c:v>
                </c:pt>
                <c:pt idx="45">
                  <c:v>4.9998035835994408</c:v>
                </c:pt>
                <c:pt idx="46">
                  <c:v>4.9998106947105523</c:v>
                </c:pt>
                <c:pt idx="47">
                  <c:v>4.9998185280438854</c:v>
                </c:pt>
                <c:pt idx="48">
                  <c:v>4.9998270002661078</c:v>
                </c:pt>
                <c:pt idx="49">
                  <c:v>4.9998361669327744</c:v>
                </c:pt>
                <c:pt idx="50">
                  <c:v>4.9998459724883295</c:v>
                </c:pt>
                <c:pt idx="51">
                  <c:v>4.9998563891549965</c:v>
                </c:pt>
                <c:pt idx="52">
                  <c:v>4.9998674169327746</c:v>
                </c:pt>
                <c:pt idx="53">
                  <c:v>4.9998790280438854</c:v>
                </c:pt>
                <c:pt idx="54">
                  <c:v>4.9998911669327741</c:v>
                </c:pt>
                <c:pt idx="55">
                  <c:v>4.9999038335994408</c:v>
                </c:pt>
                <c:pt idx="56">
                  <c:v>4.999917000266108</c:v>
                </c:pt>
                <c:pt idx="57">
                  <c:v>4.9999306113772191</c:v>
                </c:pt>
                <c:pt idx="58">
                  <c:v>4.9999446669327741</c:v>
                </c:pt>
                <c:pt idx="59">
                  <c:v>4.999959111377219</c:v>
                </c:pt>
                <c:pt idx="60">
                  <c:v>4.9999739169327748</c:v>
                </c:pt>
                <c:pt idx="61">
                  <c:v>4.9999890002661074</c:v>
                </c:pt>
                <c:pt idx="62">
                  <c:v>5.0000043613772185</c:v>
                </c:pt>
                <c:pt idx="63">
                  <c:v>5.0000198891549967</c:v>
                </c:pt>
                <c:pt idx="64">
                  <c:v>5.0000355835994412</c:v>
                </c:pt>
                <c:pt idx="65">
                  <c:v>5.0000512780438857</c:v>
                </c:pt>
                <c:pt idx="66">
                  <c:v>4.9999214722222227</c:v>
                </c:pt>
                <c:pt idx="67">
                  <c:v>4.999936916666667</c:v>
                </c:pt>
                <c:pt idx="68">
                  <c:v>4.999951888888889</c:v>
                </c:pt>
                <c:pt idx="69">
                  <c:v>4.9999661388888885</c:v>
                </c:pt>
                <c:pt idx="70">
                  <c:v>4.9999791388888886</c:v>
                </c:pt>
                <c:pt idx="71">
                  <c:v>4.9999899999999995</c:v>
                </c:pt>
                <c:pt idx="72">
                  <c:v>4.9999972777777772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DD4-4E8E-A057-F1445BB65D6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6849296"/>
        <c:axId val="636847696"/>
      </c:scatterChart>
      <c:valAx>
        <c:axId val="49757016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altLang="ja-JP"/>
                  <a:t>[W]</a:t>
                </a:r>
                <a:endParaRPr lang="ja-JP" altLang="en-US"/>
              </a:p>
            </c:rich>
          </c:tx>
          <c:layout>
            <c:manualLayout>
              <c:xMode val="edge"/>
              <c:yMode val="edge"/>
              <c:x val="1.8142500880895467E-2"/>
              <c:y val="5.6647777624418097E-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</c:title>
        <c:numFmt formatCode="h:mm;@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23835216"/>
        <c:crosses val="autoZero"/>
        <c:crossBetween val="midCat"/>
      </c:valAx>
      <c:valAx>
        <c:axId val="6238352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97570160"/>
        <c:crosses val="autoZero"/>
        <c:crossBetween val="midCat"/>
      </c:valAx>
      <c:valAx>
        <c:axId val="636847696"/>
        <c:scaling>
          <c:orientation val="minMax"/>
          <c:min val="-6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6849296"/>
        <c:crosses val="max"/>
        <c:crossBetween val="midCat"/>
      </c:valAx>
      <c:valAx>
        <c:axId val="636849296"/>
        <c:scaling>
          <c:orientation val="minMax"/>
        </c:scaling>
        <c:delete val="1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altLang="ja-JP"/>
                  <a:t>[kWh]</a:t>
                </a:r>
                <a:endParaRPr lang="ja-JP" altLang="en-US"/>
              </a:p>
            </c:rich>
          </c:tx>
          <c:layout>
            <c:manualLayout>
              <c:xMode val="edge"/>
              <c:yMode val="edge"/>
              <c:x val="0.9053114867417299"/>
              <c:y val="6.7828667400213358E-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</c:title>
        <c:numFmt formatCode="yyyy/m/d\ h:mm;@" sourceLinked="1"/>
        <c:majorTickMark val="out"/>
        <c:minorTickMark val="none"/>
        <c:tickLblPos val="nextTo"/>
        <c:crossAx val="63684769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21701472379911005"/>
          <c:y val="0.88174010518182366"/>
          <c:w val="0.71260986175666807"/>
          <c:h val="6.911312657292231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Main_Day1_2!$B$6:$B$157</c:f>
              <c:numCache>
                <c:formatCode>yyyy/m/d\ h:mm;@</c:formatCode>
                <c:ptCount val="152"/>
                <c:pt idx="0">
                  <c:v>43751.25</c:v>
                </c:pt>
                <c:pt idx="1">
                  <c:v>43751.256944444445</c:v>
                </c:pt>
                <c:pt idx="2">
                  <c:v>43751.263888888891</c:v>
                </c:pt>
                <c:pt idx="3">
                  <c:v>43751.270833333336</c:v>
                </c:pt>
                <c:pt idx="4">
                  <c:v>43751.277777777781</c:v>
                </c:pt>
                <c:pt idx="5">
                  <c:v>43751.284722222219</c:v>
                </c:pt>
                <c:pt idx="6">
                  <c:v>43751.291666666664</c:v>
                </c:pt>
                <c:pt idx="7">
                  <c:v>43751.298611111109</c:v>
                </c:pt>
                <c:pt idx="8">
                  <c:v>43751.305555555555</c:v>
                </c:pt>
                <c:pt idx="9">
                  <c:v>43751.3125</c:v>
                </c:pt>
                <c:pt idx="10">
                  <c:v>43751.319444444445</c:v>
                </c:pt>
                <c:pt idx="11">
                  <c:v>43751.326388888891</c:v>
                </c:pt>
                <c:pt idx="12">
                  <c:v>43751.333333333336</c:v>
                </c:pt>
                <c:pt idx="13">
                  <c:v>43751.340277777781</c:v>
                </c:pt>
                <c:pt idx="14">
                  <c:v>43751.347222222219</c:v>
                </c:pt>
                <c:pt idx="15">
                  <c:v>43751.354166666664</c:v>
                </c:pt>
                <c:pt idx="16">
                  <c:v>43751.361111111109</c:v>
                </c:pt>
                <c:pt idx="17">
                  <c:v>43751.368055555555</c:v>
                </c:pt>
                <c:pt idx="18">
                  <c:v>43751.375</c:v>
                </c:pt>
                <c:pt idx="19">
                  <c:v>43751.381944444445</c:v>
                </c:pt>
                <c:pt idx="20">
                  <c:v>43751.388888888891</c:v>
                </c:pt>
                <c:pt idx="21">
                  <c:v>43751.395833333336</c:v>
                </c:pt>
                <c:pt idx="22">
                  <c:v>43751.402777777781</c:v>
                </c:pt>
                <c:pt idx="23">
                  <c:v>43751.409722222219</c:v>
                </c:pt>
                <c:pt idx="24">
                  <c:v>43751.416666666664</c:v>
                </c:pt>
                <c:pt idx="25">
                  <c:v>43751.423611111109</c:v>
                </c:pt>
                <c:pt idx="26">
                  <c:v>43751.430555555555</c:v>
                </c:pt>
                <c:pt idx="27">
                  <c:v>43751.4375</c:v>
                </c:pt>
                <c:pt idx="28">
                  <c:v>43751.444444444445</c:v>
                </c:pt>
                <c:pt idx="29">
                  <c:v>43751.451388888891</c:v>
                </c:pt>
                <c:pt idx="30">
                  <c:v>43751.458333333336</c:v>
                </c:pt>
                <c:pt idx="31">
                  <c:v>43751.465277777781</c:v>
                </c:pt>
                <c:pt idx="32">
                  <c:v>43751.472222222219</c:v>
                </c:pt>
                <c:pt idx="33">
                  <c:v>43751.479166666664</c:v>
                </c:pt>
                <c:pt idx="34">
                  <c:v>43751.486111111109</c:v>
                </c:pt>
                <c:pt idx="35">
                  <c:v>43751.493055555555</c:v>
                </c:pt>
                <c:pt idx="36">
                  <c:v>43751.5</c:v>
                </c:pt>
                <c:pt idx="37">
                  <c:v>43751.506944444445</c:v>
                </c:pt>
                <c:pt idx="38">
                  <c:v>43751.513888888891</c:v>
                </c:pt>
                <c:pt idx="39">
                  <c:v>43751.520833333336</c:v>
                </c:pt>
                <c:pt idx="40">
                  <c:v>43751.527777777781</c:v>
                </c:pt>
                <c:pt idx="41">
                  <c:v>43751.534722222219</c:v>
                </c:pt>
                <c:pt idx="42">
                  <c:v>43751.541666666664</c:v>
                </c:pt>
                <c:pt idx="43">
                  <c:v>43751.548611111109</c:v>
                </c:pt>
                <c:pt idx="44">
                  <c:v>43751.555555555555</c:v>
                </c:pt>
                <c:pt idx="45">
                  <c:v>43751.5625</c:v>
                </c:pt>
                <c:pt idx="46">
                  <c:v>43751.569444444445</c:v>
                </c:pt>
                <c:pt idx="47">
                  <c:v>43751.576388888891</c:v>
                </c:pt>
                <c:pt idx="48">
                  <c:v>43751.583333333336</c:v>
                </c:pt>
                <c:pt idx="49">
                  <c:v>43751.590277777781</c:v>
                </c:pt>
                <c:pt idx="50">
                  <c:v>43751.597222222219</c:v>
                </c:pt>
                <c:pt idx="51">
                  <c:v>43751.604166666664</c:v>
                </c:pt>
                <c:pt idx="52">
                  <c:v>43751.611111111109</c:v>
                </c:pt>
                <c:pt idx="53">
                  <c:v>43751.618055555555</c:v>
                </c:pt>
                <c:pt idx="54">
                  <c:v>43751.625</c:v>
                </c:pt>
                <c:pt idx="55">
                  <c:v>43751.631944444445</c:v>
                </c:pt>
                <c:pt idx="56">
                  <c:v>43751.638888888891</c:v>
                </c:pt>
                <c:pt idx="57">
                  <c:v>43751.645833333336</c:v>
                </c:pt>
                <c:pt idx="58">
                  <c:v>43751.652777777781</c:v>
                </c:pt>
                <c:pt idx="59">
                  <c:v>43751.659722222219</c:v>
                </c:pt>
                <c:pt idx="60">
                  <c:v>43751.666666666664</c:v>
                </c:pt>
                <c:pt idx="61">
                  <c:v>43751.673611111109</c:v>
                </c:pt>
                <c:pt idx="62">
                  <c:v>43751.680555555555</c:v>
                </c:pt>
                <c:pt idx="63">
                  <c:v>43751.6875</c:v>
                </c:pt>
                <c:pt idx="64">
                  <c:v>43751.694444444445</c:v>
                </c:pt>
                <c:pt idx="65">
                  <c:v>43751.701388888891</c:v>
                </c:pt>
                <c:pt idx="66">
                  <c:v>43751.708333333336</c:v>
                </c:pt>
                <c:pt idx="67">
                  <c:v>43751.715277777781</c:v>
                </c:pt>
                <c:pt idx="68">
                  <c:v>43751.722222222219</c:v>
                </c:pt>
                <c:pt idx="69">
                  <c:v>43751.729166666664</c:v>
                </c:pt>
                <c:pt idx="70">
                  <c:v>43751.736111111109</c:v>
                </c:pt>
                <c:pt idx="71">
                  <c:v>43751.743055555555</c:v>
                </c:pt>
                <c:pt idx="72">
                  <c:v>43751.75</c:v>
                </c:pt>
                <c:pt idx="73" formatCode="m/d/yyyy\ h:mm">
                  <c:v>43752.25</c:v>
                </c:pt>
                <c:pt idx="74" formatCode="m/d/yyyy\ h:mm">
                  <c:v>43752.256944444445</c:v>
                </c:pt>
                <c:pt idx="75" formatCode="m/d/yyyy\ h:mm">
                  <c:v>43752.263888888891</c:v>
                </c:pt>
                <c:pt idx="76" formatCode="m/d/yyyy\ h:mm">
                  <c:v>43752.270833333336</c:v>
                </c:pt>
                <c:pt idx="77" formatCode="m/d/yyyy\ h:mm">
                  <c:v>43752.277777777781</c:v>
                </c:pt>
                <c:pt idx="78" formatCode="m/d/yyyy\ h:mm">
                  <c:v>43752.284722222219</c:v>
                </c:pt>
                <c:pt idx="79" formatCode="m/d/yyyy\ h:mm">
                  <c:v>43752.291666666664</c:v>
                </c:pt>
                <c:pt idx="80" formatCode="m/d/yyyy\ h:mm">
                  <c:v>43752.298611111109</c:v>
                </c:pt>
                <c:pt idx="81" formatCode="m/d/yyyy\ h:mm">
                  <c:v>43752.305555555555</c:v>
                </c:pt>
                <c:pt idx="82" formatCode="m/d/yyyy\ h:mm">
                  <c:v>43752.3125</c:v>
                </c:pt>
                <c:pt idx="83" formatCode="m/d/yyyy\ h:mm">
                  <c:v>43752.319444444445</c:v>
                </c:pt>
                <c:pt idx="84" formatCode="m/d/yyyy\ h:mm">
                  <c:v>43752.326388888891</c:v>
                </c:pt>
                <c:pt idx="85" formatCode="m/d/yyyy\ h:mm">
                  <c:v>43752.333333333336</c:v>
                </c:pt>
                <c:pt idx="86" formatCode="m/d/yyyy\ h:mm">
                  <c:v>43752.340277777781</c:v>
                </c:pt>
                <c:pt idx="87" formatCode="m/d/yyyy\ h:mm">
                  <c:v>43752.347222222219</c:v>
                </c:pt>
                <c:pt idx="88" formatCode="m/d/yyyy\ h:mm">
                  <c:v>43752.354166666664</c:v>
                </c:pt>
                <c:pt idx="89" formatCode="m/d/yyyy\ h:mm">
                  <c:v>43752.361111111109</c:v>
                </c:pt>
                <c:pt idx="90" formatCode="m/d/yyyy\ h:mm">
                  <c:v>43752.368055555555</c:v>
                </c:pt>
                <c:pt idx="91" formatCode="m/d/yyyy\ h:mm">
                  <c:v>43752.375</c:v>
                </c:pt>
                <c:pt idx="92" formatCode="m/d/yyyy\ h:mm">
                  <c:v>43752.381944444445</c:v>
                </c:pt>
                <c:pt idx="93" formatCode="m/d/yyyy\ h:mm">
                  <c:v>43752.388888888891</c:v>
                </c:pt>
                <c:pt idx="94" formatCode="m/d/yyyy\ h:mm">
                  <c:v>43752.395833333336</c:v>
                </c:pt>
                <c:pt idx="95" formatCode="m/d/yyyy\ h:mm">
                  <c:v>43752.402777777781</c:v>
                </c:pt>
                <c:pt idx="96" formatCode="m/d/yyyy\ h:mm">
                  <c:v>43752.409722222219</c:v>
                </c:pt>
                <c:pt idx="97" formatCode="m/d/yyyy\ h:mm">
                  <c:v>43752.416666666664</c:v>
                </c:pt>
                <c:pt idx="98" formatCode="m/d/yyyy\ h:mm">
                  <c:v>43752.423611111109</c:v>
                </c:pt>
                <c:pt idx="99" formatCode="m/d/yyyy\ h:mm">
                  <c:v>43752.430555555555</c:v>
                </c:pt>
                <c:pt idx="100" formatCode="m/d/yyyy\ h:mm">
                  <c:v>43752.4375</c:v>
                </c:pt>
                <c:pt idx="101" formatCode="m/d/yyyy\ h:mm">
                  <c:v>43752.444444444445</c:v>
                </c:pt>
                <c:pt idx="102" formatCode="m/d/yyyy\ h:mm">
                  <c:v>43752.451388888891</c:v>
                </c:pt>
                <c:pt idx="103" formatCode="m/d/yyyy\ h:mm">
                  <c:v>43752.458333333336</c:v>
                </c:pt>
                <c:pt idx="104" formatCode="m/d/yyyy\ h:mm">
                  <c:v>43752.465277777781</c:v>
                </c:pt>
                <c:pt idx="105" formatCode="m/d/yyyy\ h:mm">
                  <c:v>43752.472222222219</c:v>
                </c:pt>
                <c:pt idx="106" formatCode="m/d/yyyy\ h:mm">
                  <c:v>43752.479166666664</c:v>
                </c:pt>
                <c:pt idx="107" formatCode="m/d/yyyy\ h:mm">
                  <c:v>43752.486111111109</c:v>
                </c:pt>
                <c:pt idx="108" formatCode="m/d/yyyy\ h:mm">
                  <c:v>43752.493055555555</c:v>
                </c:pt>
                <c:pt idx="109" formatCode="m/d/yyyy\ h:mm">
                  <c:v>43752.5</c:v>
                </c:pt>
                <c:pt idx="110" formatCode="m/d/yyyy\ h:mm">
                  <c:v>43752.506944444445</c:v>
                </c:pt>
                <c:pt idx="111" formatCode="m/d/yyyy\ h:mm">
                  <c:v>43752.513888888891</c:v>
                </c:pt>
                <c:pt idx="112" formatCode="m/d/yyyy\ h:mm">
                  <c:v>43752.520833333336</c:v>
                </c:pt>
                <c:pt idx="113" formatCode="m/d/yyyy\ h:mm">
                  <c:v>43752.527777777781</c:v>
                </c:pt>
                <c:pt idx="114" formatCode="m/d/yyyy\ h:mm">
                  <c:v>43752.534722222219</c:v>
                </c:pt>
                <c:pt idx="115" formatCode="m/d/yyyy\ h:mm">
                  <c:v>43752.541666666664</c:v>
                </c:pt>
                <c:pt idx="116" formatCode="m/d/yyyy\ h:mm">
                  <c:v>43752.548611111109</c:v>
                </c:pt>
                <c:pt idx="117" formatCode="m/d/yyyy\ h:mm">
                  <c:v>43752.555555555555</c:v>
                </c:pt>
                <c:pt idx="118" formatCode="m/d/yyyy\ h:mm">
                  <c:v>43752.5625</c:v>
                </c:pt>
                <c:pt idx="119" formatCode="m/d/yyyy\ h:mm">
                  <c:v>43752.569444444445</c:v>
                </c:pt>
                <c:pt idx="120" formatCode="m/d/yyyy\ h:mm">
                  <c:v>43752.576388888891</c:v>
                </c:pt>
                <c:pt idx="121" formatCode="m/d/yyyy\ h:mm">
                  <c:v>43752.583333333336</c:v>
                </c:pt>
                <c:pt idx="122" formatCode="m/d/yyyy\ h:mm">
                  <c:v>43752.590277777781</c:v>
                </c:pt>
                <c:pt idx="123" formatCode="m/d/yyyy\ h:mm">
                  <c:v>43752.597222222219</c:v>
                </c:pt>
                <c:pt idx="124" formatCode="m/d/yyyy\ h:mm">
                  <c:v>43752.604166666664</c:v>
                </c:pt>
                <c:pt idx="125" formatCode="m/d/yyyy\ h:mm">
                  <c:v>43752.611111111109</c:v>
                </c:pt>
                <c:pt idx="126" formatCode="m/d/yyyy\ h:mm">
                  <c:v>43752.618055555555</c:v>
                </c:pt>
                <c:pt idx="127" formatCode="m/d/yyyy\ h:mm">
                  <c:v>43752.625</c:v>
                </c:pt>
                <c:pt idx="128" formatCode="m/d/yyyy\ h:mm">
                  <c:v>43752.631944444445</c:v>
                </c:pt>
                <c:pt idx="129" formatCode="m/d/yyyy\ h:mm">
                  <c:v>43752.638888888891</c:v>
                </c:pt>
                <c:pt idx="130" formatCode="m/d/yyyy\ h:mm">
                  <c:v>43752.645833333336</c:v>
                </c:pt>
                <c:pt idx="131" formatCode="m/d/yyyy\ h:mm">
                  <c:v>43752.652777777781</c:v>
                </c:pt>
                <c:pt idx="132" formatCode="m/d/yyyy\ h:mm">
                  <c:v>43752.659722222219</c:v>
                </c:pt>
                <c:pt idx="133" formatCode="m/d/yyyy\ h:mm">
                  <c:v>43752.666666666664</c:v>
                </c:pt>
                <c:pt idx="134" formatCode="m/d/yyyy\ h:mm">
                  <c:v>43752.673611111109</c:v>
                </c:pt>
                <c:pt idx="135" formatCode="m/d/yyyy\ h:mm">
                  <c:v>43752.680555555555</c:v>
                </c:pt>
                <c:pt idx="136" formatCode="m/d/yyyy\ h:mm">
                  <c:v>43752.6875</c:v>
                </c:pt>
                <c:pt idx="137" formatCode="m/d/yyyy\ h:mm">
                  <c:v>43752.694444444445</c:v>
                </c:pt>
                <c:pt idx="138" formatCode="m/d/yyyy\ h:mm">
                  <c:v>43752.701388888891</c:v>
                </c:pt>
                <c:pt idx="139" formatCode="m/d/yyyy\ h:mm">
                  <c:v>43752.708333333336</c:v>
                </c:pt>
                <c:pt idx="140" formatCode="m/d/yyyy\ h:mm">
                  <c:v>43752.715277777781</c:v>
                </c:pt>
                <c:pt idx="141" formatCode="m/d/yyyy\ h:mm">
                  <c:v>43752.722222222219</c:v>
                </c:pt>
                <c:pt idx="142" formatCode="m/d/yyyy\ h:mm">
                  <c:v>43752.729166666664</c:v>
                </c:pt>
                <c:pt idx="143" formatCode="m/d/yyyy\ h:mm">
                  <c:v>43752.736111111109</c:v>
                </c:pt>
                <c:pt idx="144" formatCode="m/d/yyyy\ h:mm">
                  <c:v>43752.743055555555</c:v>
                </c:pt>
                <c:pt idx="145" formatCode="m/d/yyyy\ h:mm">
                  <c:v>43752.75</c:v>
                </c:pt>
                <c:pt idx="146" formatCode="m/d/yyyy\ h:mm">
                  <c:v>43752.756944444445</c:v>
                </c:pt>
                <c:pt idx="147" formatCode="m/d/yyyy\ h:mm">
                  <c:v>43752.763888888891</c:v>
                </c:pt>
                <c:pt idx="148" formatCode="m/d/yyyy\ h:mm">
                  <c:v>43752.770833333336</c:v>
                </c:pt>
                <c:pt idx="149" formatCode="m/d/yyyy\ h:mm">
                  <c:v>43752.777777777781</c:v>
                </c:pt>
                <c:pt idx="150" formatCode="m/d/yyyy\ h:mm">
                  <c:v>43752.784722222219</c:v>
                </c:pt>
                <c:pt idx="151" formatCode="m/d/yyyy\ h:mm">
                  <c:v>43752.791666666664</c:v>
                </c:pt>
              </c:numCache>
            </c:numRef>
          </c:xVal>
          <c:yVal>
            <c:numRef>
              <c:f>Main_Day1_2!$C$6:$C$157</c:f>
              <c:numCache>
                <c:formatCode>General</c:formatCode>
                <c:ptCount val="152"/>
                <c:pt idx="0">
                  <c:v>4999.9986388888892</c:v>
                </c:pt>
                <c:pt idx="1">
                  <c:v>4999.9949999999999</c:v>
                </c:pt>
                <c:pt idx="2">
                  <c:v>4999.989569444444</c:v>
                </c:pt>
                <c:pt idx="3">
                  <c:v>4999.9830833333335</c:v>
                </c:pt>
                <c:pt idx="4">
                  <c:v>4999.9759583333334</c:v>
                </c:pt>
                <c:pt idx="5">
                  <c:v>4999.9684583333328</c:v>
                </c:pt>
                <c:pt idx="6">
                  <c:v>4999.9607500000002</c:v>
                </c:pt>
                <c:pt idx="7">
                  <c:v>4999.9529305555561</c:v>
                </c:pt>
                <c:pt idx="8">
                  <c:v>4999.945069444444</c:v>
                </c:pt>
                <c:pt idx="9">
                  <c:v>4999.9372361111109</c:v>
                </c:pt>
                <c:pt idx="10">
                  <c:v>4999.929458333334</c:v>
                </c:pt>
                <c:pt idx="11">
                  <c:v>4999.9217916666666</c:v>
                </c:pt>
                <c:pt idx="12">
                  <c:v>5000.1100730896587</c:v>
                </c:pt>
                <c:pt idx="13">
                  <c:v>5000.1026842007705</c:v>
                </c:pt>
                <c:pt idx="14">
                  <c:v>5000.095461978548</c:v>
                </c:pt>
                <c:pt idx="15">
                  <c:v>5000.0884342007703</c:v>
                </c:pt>
                <c:pt idx="16">
                  <c:v>5000.0816147563255</c:v>
                </c:pt>
                <c:pt idx="17">
                  <c:v>5000.0750314229927</c:v>
                </c:pt>
                <c:pt idx="18">
                  <c:v>5000.0686980896589</c:v>
                </c:pt>
                <c:pt idx="19">
                  <c:v>5000.0626286452143</c:v>
                </c:pt>
                <c:pt idx="20">
                  <c:v>5000.0568230896588</c:v>
                </c:pt>
                <c:pt idx="21">
                  <c:v>5000.0513230896586</c:v>
                </c:pt>
                <c:pt idx="22">
                  <c:v>5000.0461008674365</c:v>
                </c:pt>
                <c:pt idx="23">
                  <c:v>5000.0411980896588</c:v>
                </c:pt>
                <c:pt idx="24">
                  <c:v>5000.0366286452145</c:v>
                </c:pt>
                <c:pt idx="25">
                  <c:v>5000.0323786452145</c:v>
                </c:pt>
                <c:pt idx="26">
                  <c:v>5000.0284758674361</c:v>
                </c:pt>
                <c:pt idx="27">
                  <c:v>5000.0249064229929</c:v>
                </c:pt>
                <c:pt idx="28">
                  <c:v>5000.0216980896594</c:v>
                </c:pt>
                <c:pt idx="29">
                  <c:v>5000.0188647563255</c:v>
                </c:pt>
                <c:pt idx="30">
                  <c:v>5000.016378645214</c:v>
                </c:pt>
                <c:pt idx="31">
                  <c:v>5000.0142814229921</c:v>
                </c:pt>
                <c:pt idx="32">
                  <c:v>5000.0125592007698</c:v>
                </c:pt>
                <c:pt idx="33">
                  <c:v>5000.0112119785481</c:v>
                </c:pt>
                <c:pt idx="34">
                  <c:v>5000.010239756326</c:v>
                </c:pt>
                <c:pt idx="35">
                  <c:v>5000.0096564229916</c:v>
                </c:pt>
                <c:pt idx="36">
                  <c:v>5000.0094758674368</c:v>
                </c:pt>
                <c:pt idx="37">
                  <c:v>4999.7730835994416</c:v>
                </c:pt>
                <c:pt idx="38">
                  <c:v>4999.7742502661076</c:v>
                </c:pt>
                <c:pt idx="39">
                  <c:v>4999.7761947105528</c:v>
                </c:pt>
                <c:pt idx="40">
                  <c:v>4999.7788613772182</c:v>
                </c:pt>
                <c:pt idx="41">
                  <c:v>4999.7823335994408</c:v>
                </c:pt>
                <c:pt idx="42">
                  <c:v>4999.7865280438855</c:v>
                </c:pt>
                <c:pt idx="43">
                  <c:v>4999.7914724883303</c:v>
                </c:pt>
                <c:pt idx="44">
                  <c:v>4999.7971669327744</c:v>
                </c:pt>
                <c:pt idx="45">
                  <c:v>4999.8035835994406</c:v>
                </c:pt>
                <c:pt idx="46">
                  <c:v>4999.8106947105525</c:v>
                </c:pt>
                <c:pt idx="47">
                  <c:v>4999.8185280438856</c:v>
                </c:pt>
                <c:pt idx="48">
                  <c:v>4999.8270002661075</c:v>
                </c:pt>
                <c:pt idx="49">
                  <c:v>4999.8361669327742</c:v>
                </c:pt>
                <c:pt idx="50">
                  <c:v>4999.8459724883296</c:v>
                </c:pt>
                <c:pt idx="51">
                  <c:v>4999.8563891549966</c:v>
                </c:pt>
                <c:pt idx="52">
                  <c:v>4999.8674169327742</c:v>
                </c:pt>
                <c:pt idx="53">
                  <c:v>4999.8790280438852</c:v>
                </c:pt>
                <c:pt idx="54">
                  <c:v>4999.8911669327745</c:v>
                </c:pt>
                <c:pt idx="55">
                  <c:v>4999.903833599441</c:v>
                </c:pt>
                <c:pt idx="56">
                  <c:v>4999.9170002661076</c:v>
                </c:pt>
                <c:pt idx="57">
                  <c:v>4999.9306113772191</c:v>
                </c:pt>
                <c:pt idx="58">
                  <c:v>4999.9446669327745</c:v>
                </c:pt>
                <c:pt idx="59">
                  <c:v>4999.9591113772194</c:v>
                </c:pt>
                <c:pt idx="60">
                  <c:v>4999.973916932775</c:v>
                </c:pt>
                <c:pt idx="61">
                  <c:v>4999.9890002661077</c:v>
                </c:pt>
                <c:pt idx="62">
                  <c:v>5000.0043613772186</c:v>
                </c:pt>
                <c:pt idx="63">
                  <c:v>5000.0198891549971</c:v>
                </c:pt>
                <c:pt idx="64">
                  <c:v>5000.0355835994415</c:v>
                </c:pt>
                <c:pt idx="65">
                  <c:v>5000.0512780438858</c:v>
                </c:pt>
                <c:pt idx="66">
                  <c:v>4999.9214722222223</c:v>
                </c:pt>
                <c:pt idx="67">
                  <c:v>4999.9369166666665</c:v>
                </c:pt>
                <c:pt idx="68">
                  <c:v>4999.9518888888888</c:v>
                </c:pt>
                <c:pt idx="69">
                  <c:v>4999.966138888889</c:v>
                </c:pt>
                <c:pt idx="70">
                  <c:v>4999.9791388888889</c:v>
                </c:pt>
                <c:pt idx="71">
                  <c:v>4999.99</c:v>
                </c:pt>
                <c:pt idx="72">
                  <c:v>4999.9972777777775</c:v>
                </c:pt>
                <c:pt idx="73">
                  <c:v>4999.9956444444442</c:v>
                </c:pt>
                <c:pt idx="74">
                  <c:v>4999.9896444444439</c:v>
                </c:pt>
                <c:pt idx="75">
                  <c:v>4999.9771277777782</c:v>
                </c:pt>
                <c:pt idx="76">
                  <c:v>4999.9568277777771</c:v>
                </c:pt>
                <c:pt idx="77">
                  <c:v>4999.9279777777774</c:v>
                </c:pt>
                <c:pt idx="78">
                  <c:v>4999.8901277777777</c:v>
                </c:pt>
                <c:pt idx="79">
                  <c:v>4999.843027777777</c:v>
                </c:pt>
                <c:pt idx="80">
                  <c:v>4999.7865444444442</c:v>
                </c:pt>
                <c:pt idx="81">
                  <c:v>4999.7206277777768</c:v>
                </c:pt>
                <c:pt idx="82">
                  <c:v>4999.6453111111114</c:v>
                </c:pt>
                <c:pt idx="83">
                  <c:v>4999.5606611111107</c:v>
                </c:pt>
                <c:pt idx="84">
                  <c:v>4999.4668111111114</c:v>
                </c:pt>
                <c:pt idx="85">
                  <c:v>4999.5093391549972</c:v>
                </c:pt>
                <c:pt idx="86">
                  <c:v>4999.543000532216</c:v>
                </c:pt>
                <c:pt idx="87">
                  <c:v>4999.5679952427681</c:v>
                </c:pt>
                <c:pt idx="88">
                  <c:v>4999.5845566199869</c:v>
                </c:pt>
                <c:pt idx="89">
                  <c:v>4999.5929346638723</c:v>
                </c:pt>
                <c:pt idx="90">
                  <c:v>4999.593412707758</c:v>
                </c:pt>
                <c:pt idx="91">
                  <c:v>4999.5862907516439</c:v>
                </c:pt>
                <c:pt idx="92">
                  <c:v>4999.5718854621964</c:v>
                </c:pt>
                <c:pt idx="93">
                  <c:v>4999.5505135060812</c:v>
                </c:pt>
                <c:pt idx="94">
                  <c:v>4999.5225415499672</c:v>
                </c:pt>
                <c:pt idx="95">
                  <c:v>4999.4883029271869</c:v>
                </c:pt>
                <c:pt idx="96">
                  <c:v>4999.4481809710724</c:v>
                </c:pt>
                <c:pt idx="97">
                  <c:v>4999.4025756816245</c:v>
                </c:pt>
                <c:pt idx="98">
                  <c:v>4999.3518703921773</c:v>
                </c:pt>
                <c:pt idx="99">
                  <c:v>4999.3764886224835</c:v>
                </c:pt>
                <c:pt idx="100">
                  <c:v>4999.3968235194579</c:v>
                </c:pt>
                <c:pt idx="101">
                  <c:v>4999.4133084164314</c:v>
                </c:pt>
                <c:pt idx="102">
                  <c:v>4999.4263933134052</c:v>
                </c:pt>
                <c:pt idx="103">
                  <c:v>4999.4364948770444</c:v>
                </c:pt>
                <c:pt idx="104">
                  <c:v>4999.444079774019</c:v>
                </c:pt>
                <c:pt idx="105">
                  <c:v>4999.4495980043257</c:v>
                </c:pt>
                <c:pt idx="106">
                  <c:v>4999.453499567966</c:v>
                </c:pt>
                <c:pt idx="107">
                  <c:v>4999.4562344649394</c:v>
                </c:pt>
                <c:pt idx="108">
                  <c:v>4999.4582693619122</c:v>
                </c:pt>
                <c:pt idx="109">
                  <c:v>4999.4600875922197</c:v>
                </c:pt>
                <c:pt idx="110">
                  <c:v>4999.4621224891935</c:v>
                </c:pt>
                <c:pt idx="111">
                  <c:v>4999.4648573861678</c:v>
                </c:pt>
                <c:pt idx="112">
                  <c:v>4999.4687589498071</c:v>
                </c:pt>
                <c:pt idx="113">
                  <c:v>4999.474260513447</c:v>
                </c:pt>
                <c:pt idx="114">
                  <c:v>4999.4818454104216</c:v>
                </c:pt>
                <c:pt idx="115">
                  <c:v>4999.4919469740616</c:v>
                </c:pt>
                <c:pt idx="116">
                  <c:v>4999.5050152043686</c:v>
                </c:pt>
                <c:pt idx="117">
                  <c:v>4999.5215001013421</c:v>
                </c:pt>
                <c:pt idx="118">
                  <c:v>4999.5418349983156</c:v>
                </c:pt>
                <c:pt idx="119">
                  <c:v>4999.5664365619559</c:v>
                </c:pt>
                <c:pt idx="120">
                  <c:v>4999.5957381255967</c:v>
                </c:pt>
                <c:pt idx="121">
                  <c:v>4999.6301230225699</c:v>
                </c:pt>
                <c:pt idx="122">
                  <c:v>4999.6700079195443</c:v>
                </c:pt>
                <c:pt idx="123">
                  <c:v>4999.7157761498502</c:v>
                </c:pt>
                <c:pt idx="124">
                  <c:v>4999.7677943801573</c:v>
                </c:pt>
                <c:pt idx="125">
                  <c:v>4999.826429277131</c:v>
                </c:pt>
                <c:pt idx="126">
                  <c:v>4999.8920308407714</c:v>
                </c:pt>
                <c:pt idx="127">
                  <c:v>4999.9649157377444</c:v>
                </c:pt>
                <c:pt idx="128">
                  <c:v>5000.0454006347181</c:v>
                </c:pt>
                <c:pt idx="129">
                  <c:v>5000.1337855316915</c:v>
                </c:pt>
                <c:pt idx="130">
                  <c:v>5000.2303370953323</c:v>
                </c:pt>
                <c:pt idx="131">
                  <c:v>5000.3353219923056</c:v>
                </c:pt>
                <c:pt idx="132">
                  <c:v>5000.4489735559455</c:v>
                </c:pt>
                <c:pt idx="133">
                  <c:v>5000.5715084529202</c:v>
                </c:pt>
                <c:pt idx="134">
                  <c:v>5000.7030933498936</c:v>
                </c:pt>
                <c:pt idx="135">
                  <c:v>5000.8438949135343</c:v>
                </c:pt>
                <c:pt idx="136">
                  <c:v>5000.9940131438407</c:v>
                </c:pt>
                <c:pt idx="137">
                  <c:v>5001.1535480408147</c:v>
                </c:pt>
                <c:pt idx="138">
                  <c:v>5001.3224996044546</c:v>
                </c:pt>
                <c:pt idx="139">
                  <c:v>5001.5008345014285</c:v>
                </c:pt>
                <c:pt idx="140">
                  <c:v>5001.4629845014279</c:v>
                </c:pt>
                <c:pt idx="141">
                  <c:v>5001.4341178347613</c:v>
                </c:pt>
                <c:pt idx="142">
                  <c:v>5001.4138011680943</c:v>
                </c:pt>
                <c:pt idx="143">
                  <c:v>5001.4012845014286</c:v>
                </c:pt>
                <c:pt idx="144">
                  <c:v>5001.3952845014283</c:v>
                </c:pt>
                <c:pt idx="145">
                  <c:v>5001.3936511680949</c:v>
                </c:pt>
                <c:pt idx="146">
                  <c:v>5001.3936511680949</c:v>
                </c:pt>
                <c:pt idx="147">
                  <c:v>5001.3936511680949</c:v>
                </c:pt>
                <c:pt idx="148">
                  <c:v>5001.3936511680949</c:v>
                </c:pt>
                <c:pt idx="149">
                  <c:v>5001.3936511680949</c:v>
                </c:pt>
                <c:pt idx="150">
                  <c:v>5001.3936511680949</c:v>
                </c:pt>
                <c:pt idx="151">
                  <c:v>5001.3936511680949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4A7-4512-BBFC-A7C2D79E422F}"/>
            </c:ext>
          </c:extLst>
        </c:ser>
        <c:ser>
          <c:idx val="1"/>
          <c:order val="1"/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Main_Day1_2!$B$6:$B$157</c:f>
              <c:numCache>
                <c:formatCode>yyyy/m/d\ h:mm;@</c:formatCode>
                <c:ptCount val="152"/>
                <c:pt idx="0">
                  <c:v>43751.25</c:v>
                </c:pt>
                <c:pt idx="1">
                  <c:v>43751.256944444445</c:v>
                </c:pt>
                <c:pt idx="2">
                  <c:v>43751.263888888891</c:v>
                </c:pt>
                <c:pt idx="3">
                  <c:v>43751.270833333336</c:v>
                </c:pt>
                <c:pt idx="4">
                  <c:v>43751.277777777781</c:v>
                </c:pt>
                <c:pt idx="5">
                  <c:v>43751.284722222219</c:v>
                </c:pt>
                <c:pt idx="6">
                  <c:v>43751.291666666664</c:v>
                </c:pt>
                <c:pt idx="7">
                  <c:v>43751.298611111109</c:v>
                </c:pt>
                <c:pt idx="8">
                  <c:v>43751.305555555555</c:v>
                </c:pt>
                <c:pt idx="9">
                  <c:v>43751.3125</c:v>
                </c:pt>
                <c:pt idx="10">
                  <c:v>43751.319444444445</c:v>
                </c:pt>
                <c:pt idx="11">
                  <c:v>43751.326388888891</c:v>
                </c:pt>
                <c:pt idx="12">
                  <c:v>43751.333333333336</c:v>
                </c:pt>
                <c:pt idx="13">
                  <c:v>43751.340277777781</c:v>
                </c:pt>
                <c:pt idx="14">
                  <c:v>43751.347222222219</c:v>
                </c:pt>
                <c:pt idx="15">
                  <c:v>43751.354166666664</c:v>
                </c:pt>
                <c:pt idx="16">
                  <c:v>43751.361111111109</c:v>
                </c:pt>
                <c:pt idx="17">
                  <c:v>43751.368055555555</c:v>
                </c:pt>
                <c:pt idx="18">
                  <c:v>43751.375</c:v>
                </c:pt>
                <c:pt idx="19">
                  <c:v>43751.381944444445</c:v>
                </c:pt>
                <c:pt idx="20">
                  <c:v>43751.388888888891</c:v>
                </c:pt>
                <c:pt idx="21">
                  <c:v>43751.395833333336</c:v>
                </c:pt>
                <c:pt idx="22">
                  <c:v>43751.402777777781</c:v>
                </c:pt>
                <c:pt idx="23">
                  <c:v>43751.409722222219</c:v>
                </c:pt>
                <c:pt idx="24">
                  <c:v>43751.416666666664</c:v>
                </c:pt>
                <c:pt idx="25">
                  <c:v>43751.423611111109</c:v>
                </c:pt>
                <c:pt idx="26">
                  <c:v>43751.430555555555</c:v>
                </c:pt>
                <c:pt idx="27">
                  <c:v>43751.4375</c:v>
                </c:pt>
                <c:pt idx="28">
                  <c:v>43751.444444444445</c:v>
                </c:pt>
                <c:pt idx="29">
                  <c:v>43751.451388888891</c:v>
                </c:pt>
                <c:pt idx="30">
                  <c:v>43751.458333333336</c:v>
                </c:pt>
                <c:pt idx="31">
                  <c:v>43751.465277777781</c:v>
                </c:pt>
                <c:pt idx="32">
                  <c:v>43751.472222222219</c:v>
                </c:pt>
                <c:pt idx="33">
                  <c:v>43751.479166666664</c:v>
                </c:pt>
                <c:pt idx="34">
                  <c:v>43751.486111111109</c:v>
                </c:pt>
                <c:pt idx="35">
                  <c:v>43751.493055555555</c:v>
                </c:pt>
                <c:pt idx="36">
                  <c:v>43751.5</c:v>
                </c:pt>
                <c:pt idx="37">
                  <c:v>43751.506944444445</c:v>
                </c:pt>
                <c:pt idx="38">
                  <c:v>43751.513888888891</c:v>
                </c:pt>
                <c:pt idx="39">
                  <c:v>43751.520833333336</c:v>
                </c:pt>
                <c:pt idx="40">
                  <c:v>43751.527777777781</c:v>
                </c:pt>
                <c:pt idx="41">
                  <c:v>43751.534722222219</c:v>
                </c:pt>
                <c:pt idx="42">
                  <c:v>43751.541666666664</c:v>
                </c:pt>
                <c:pt idx="43">
                  <c:v>43751.548611111109</c:v>
                </c:pt>
                <c:pt idx="44">
                  <c:v>43751.555555555555</c:v>
                </c:pt>
                <c:pt idx="45">
                  <c:v>43751.5625</c:v>
                </c:pt>
                <c:pt idx="46">
                  <c:v>43751.569444444445</c:v>
                </c:pt>
                <c:pt idx="47">
                  <c:v>43751.576388888891</c:v>
                </c:pt>
                <c:pt idx="48">
                  <c:v>43751.583333333336</c:v>
                </c:pt>
                <c:pt idx="49">
                  <c:v>43751.590277777781</c:v>
                </c:pt>
                <c:pt idx="50">
                  <c:v>43751.597222222219</c:v>
                </c:pt>
                <c:pt idx="51">
                  <c:v>43751.604166666664</c:v>
                </c:pt>
                <c:pt idx="52">
                  <c:v>43751.611111111109</c:v>
                </c:pt>
                <c:pt idx="53">
                  <c:v>43751.618055555555</c:v>
                </c:pt>
                <c:pt idx="54">
                  <c:v>43751.625</c:v>
                </c:pt>
                <c:pt idx="55">
                  <c:v>43751.631944444445</c:v>
                </c:pt>
                <c:pt idx="56">
                  <c:v>43751.638888888891</c:v>
                </c:pt>
                <c:pt idx="57">
                  <c:v>43751.645833333336</c:v>
                </c:pt>
                <c:pt idx="58">
                  <c:v>43751.652777777781</c:v>
                </c:pt>
                <c:pt idx="59">
                  <c:v>43751.659722222219</c:v>
                </c:pt>
                <c:pt idx="60">
                  <c:v>43751.666666666664</c:v>
                </c:pt>
                <c:pt idx="61">
                  <c:v>43751.673611111109</c:v>
                </c:pt>
                <c:pt idx="62">
                  <c:v>43751.680555555555</c:v>
                </c:pt>
                <c:pt idx="63">
                  <c:v>43751.6875</c:v>
                </c:pt>
                <c:pt idx="64">
                  <c:v>43751.694444444445</c:v>
                </c:pt>
                <c:pt idx="65">
                  <c:v>43751.701388888891</c:v>
                </c:pt>
                <c:pt idx="66">
                  <c:v>43751.708333333336</c:v>
                </c:pt>
                <c:pt idx="67">
                  <c:v>43751.715277777781</c:v>
                </c:pt>
                <c:pt idx="68">
                  <c:v>43751.722222222219</c:v>
                </c:pt>
                <c:pt idx="69">
                  <c:v>43751.729166666664</c:v>
                </c:pt>
                <c:pt idx="70">
                  <c:v>43751.736111111109</c:v>
                </c:pt>
                <c:pt idx="71">
                  <c:v>43751.743055555555</c:v>
                </c:pt>
                <c:pt idx="72">
                  <c:v>43751.75</c:v>
                </c:pt>
                <c:pt idx="73" formatCode="m/d/yyyy\ h:mm">
                  <c:v>43752.25</c:v>
                </c:pt>
                <c:pt idx="74" formatCode="m/d/yyyy\ h:mm">
                  <c:v>43752.256944444445</c:v>
                </c:pt>
                <c:pt idx="75" formatCode="m/d/yyyy\ h:mm">
                  <c:v>43752.263888888891</c:v>
                </c:pt>
                <c:pt idx="76" formatCode="m/d/yyyy\ h:mm">
                  <c:v>43752.270833333336</c:v>
                </c:pt>
                <c:pt idx="77" formatCode="m/d/yyyy\ h:mm">
                  <c:v>43752.277777777781</c:v>
                </c:pt>
                <c:pt idx="78" formatCode="m/d/yyyy\ h:mm">
                  <c:v>43752.284722222219</c:v>
                </c:pt>
                <c:pt idx="79" formatCode="m/d/yyyy\ h:mm">
                  <c:v>43752.291666666664</c:v>
                </c:pt>
                <c:pt idx="80" formatCode="m/d/yyyy\ h:mm">
                  <c:v>43752.298611111109</c:v>
                </c:pt>
                <c:pt idx="81" formatCode="m/d/yyyy\ h:mm">
                  <c:v>43752.305555555555</c:v>
                </c:pt>
                <c:pt idx="82" formatCode="m/d/yyyy\ h:mm">
                  <c:v>43752.3125</c:v>
                </c:pt>
                <c:pt idx="83" formatCode="m/d/yyyy\ h:mm">
                  <c:v>43752.319444444445</c:v>
                </c:pt>
                <c:pt idx="84" formatCode="m/d/yyyy\ h:mm">
                  <c:v>43752.326388888891</c:v>
                </c:pt>
                <c:pt idx="85" formatCode="m/d/yyyy\ h:mm">
                  <c:v>43752.333333333336</c:v>
                </c:pt>
                <c:pt idx="86" formatCode="m/d/yyyy\ h:mm">
                  <c:v>43752.340277777781</c:v>
                </c:pt>
                <c:pt idx="87" formatCode="m/d/yyyy\ h:mm">
                  <c:v>43752.347222222219</c:v>
                </c:pt>
                <c:pt idx="88" formatCode="m/d/yyyy\ h:mm">
                  <c:v>43752.354166666664</c:v>
                </c:pt>
                <c:pt idx="89" formatCode="m/d/yyyy\ h:mm">
                  <c:v>43752.361111111109</c:v>
                </c:pt>
                <c:pt idx="90" formatCode="m/d/yyyy\ h:mm">
                  <c:v>43752.368055555555</c:v>
                </c:pt>
                <c:pt idx="91" formatCode="m/d/yyyy\ h:mm">
                  <c:v>43752.375</c:v>
                </c:pt>
                <c:pt idx="92" formatCode="m/d/yyyy\ h:mm">
                  <c:v>43752.381944444445</c:v>
                </c:pt>
                <c:pt idx="93" formatCode="m/d/yyyy\ h:mm">
                  <c:v>43752.388888888891</c:v>
                </c:pt>
                <c:pt idx="94" formatCode="m/d/yyyy\ h:mm">
                  <c:v>43752.395833333336</c:v>
                </c:pt>
                <c:pt idx="95" formatCode="m/d/yyyy\ h:mm">
                  <c:v>43752.402777777781</c:v>
                </c:pt>
                <c:pt idx="96" formatCode="m/d/yyyy\ h:mm">
                  <c:v>43752.409722222219</c:v>
                </c:pt>
                <c:pt idx="97" formatCode="m/d/yyyy\ h:mm">
                  <c:v>43752.416666666664</c:v>
                </c:pt>
                <c:pt idx="98" formatCode="m/d/yyyy\ h:mm">
                  <c:v>43752.423611111109</c:v>
                </c:pt>
                <c:pt idx="99" formatCode="m/d/yyyy\ h:mm">
                  <c:v>43752.430555555555</c:v>
                </c:pt>
                <c:pt idx="100" formatCode="m/d/yyyy\ h:mm">
                  <c:v>43752.4375</c:v>
                </c:pt>
                <c:pt idx="101" formatCode="m/d/yyyy\ h:mm">
                  <c:v>43752.444444444445</c:v>
                </c:pt>
                <c:pt idx="102" formatCode="m/d/yyyy\ h:mm">
                  <c:v>43752.451388888891</c:v>
                </c:pt>
                <c:pt idx="103" formatCode="m/d/yyyy\ h:mm">
                  <c:v>43752.458333333336</c:v>
                </c:pt>
                <c:pt idx="104" formatCode="m/d/yyyy\ h:mm">
                  <c:v>43752.465277777781</c:v>
                </c:pt>
                <c:pt idx="105" formatCode="m/d/yyyy\ h:mm">
                  <c:v>43752.472222222219</c:v>
                </c:pt>
                <c:pt idx="106" formatCode="m/d/yyyy\ h:mm">
                  <c:v>43752.479166666664</c:v>
                </c:pt>
                <c:pt idx="107" formatCode="m/d/yyyy\ h:mm">
                  <c:v>43752.486111111109</c:v>
                </c:pt>
                <c:pt idx="108" formatCode="m/d/yyyy\ h:mm">
                  <c:v>43752.493055555555</c:v>
                </c:pt>
                <c:pt idx="109" formatCode="m/d/yyyy\ h:mm">
                  <c:v>43752.5</c:v>
                </c:pt>
                <c:pt idx="110" formatCode="m/d/yyyy\ h:mm">
                  <c:v>43752.506944444445</c:v>
                </c:pt>
                <c:pt idx="111" formatCode="m/d/yyyy\ h:mm">
                  <c:v>43752.513888888891</c:v>
                </c:pt>
                <c:pt idx="112" formatCode="m/d/yyyy\ h:mm">
                  <c:v>43752.520833333336</c:v>
                </c:pt>
                <c:pt idx="113" formatCode="m/d/yyyy\ h:mm">
                  <c:v>43752.527777777781</c:v>
                </c:pt>
                <c:pt idx="114" formatCode="m/d/yyyy\ h:mm">
                  <c:v>43752.534722222219</c:v>
                </c:pt>
                <c:pt idx="115" formatCode="m/d/yyyy\ h:mm">
                  <c:v>43752.541666666664</c:v>
                </c:pt>
                <c:pt idx="116" formatCode="m/d/yyyy\ h:mm">
                  <c:v>43752.548611111109</c:v>
                </c:pt>
                <c:pt idx="117" formatCode="m/d/yyyy\ h:mm">
                  <c:v>43752.555555555555</c:v>
                </c:pt>
                <c:pt idx="118" formatCode="m/d/yyyy\ h:mm">
                  <c:v>43752.5625</c:v>
                </c:pt>
                <c:pt idx="119" formatCode="m/d/yyyy\ h:mm">
                  <c:v>43752.569444444445</c:v>
                </c:pt>
                <c:pt idx="120" formatCode="m/d/yyyy\ h:mm">
                  <c:v>43752.576388888891</c:v>
                </c:pt>
                <c:pt idx="121" formatCode="m/d/yyyy\ h:mm">
                  <c:v>43752.583333333336</c:v>
                </c:pt>
                <c:pt idx="122" formatCode="m/d/yyyy\ h:mm">
                  <c:v>43752.590277777781</c:v>
                </c:pt>
                <c:pt idx="123" formatCode="m/d/yyyy\ h:mm">
                  <c:v>43752.597222222219</c:v>
                </c:pt>
                <c:pt idx="124" formatCode="m/d/yyyy\ h:mm">
                  <c:v>43752.604166666664</c:v>
                </c:pt>
                <c:pt idx="125" formatCode="m/d/yyyy\ h:mm">
                  <c:v>43752.611111111109</c:v>
                </c:pt>
                <c:pt idx="126" formatCode="m/d/yyyy\ h:mm">
                  <c:v>43752.618055555555</c:v>
                </c:pt>
                <c:pt idx="127" formatCode="m/d/yyyy\ h:mm">
                  <c:v>43752.625</c:v>
                </c:pt>
                <c:pt idx="128" formatCode="m/d/yyyy\ h:mm">
                  <c:v>43752.631944444445</c:v>
                </c:pt>
                <c:pt idx="129" formatCode="m/d/yyyy\ h:mm">
                  <c:v>43752.638888888891</c:v>
                </c:pt>
                <c:pt idx="130" formatCode="m/d/yyyy\ h:mm">
                  <c:v>43752.645833333336</c:v>
                </c:pt>
                <c:pt idx="131" formatCode="m/d/yyyy\ h:mm">
                  <c:v>43752.652777777781</c:v>
                </c:pt>
                <c:pt idx="132" formatCode="m/d/yyyy\ h:mm">
                  <c:v>43752.659722222219</c:v>
                </c:pt>
                <c:pt idx="133" formatCode="m/d/yyyy\ h:mm">
                  <c:v>43752.666666666664</c:v>
                </c:pt>
                <c:pt idx="134" formatCode="m/d/yyyy\ h:mm">
                  <c:v>43752.673611111109</c:v>
                </c:pt>
                <c:pt idx="135" formatCode="m/d/yyyy\ h:mm">
                  <c:v>43752.680555555555</c:v>
                </c:pt>
                <c:pt idx="136" formatCode="m/d/yyyy\ h:mm">
                  <c:v>43752.6875</c:v>
                </c:pt>
                <c:pt idx="137" formatCode="m/d/yyyy\ h:mm">
                  <c:v>43752.694444444445</c:v>
                </c:pt>
                <c:pt idx="138" formatCode="m/d/yyyy\ h:mm">
                  <c:v>43752.701388888891</c:v>
                </c:pt>
                <c:pt idx="139" formatCode="m/d/yyyy\ h:mm">
                  <c:v>43752.708333333336</c:v>
                </c:pt>
                <c:pt idx="140" formatCode="m/d/yyyy\ h:mm">
                  <c:v>43752.715277777781</c:v>
                </c:pt>
                <c:pt idx="141" formatCode="m/d/yyyy\ h:mm">
                  <c:v>43752.722222222219</c:v>
                </c:pt>
                <c:pt idx="142" formatCode="m/d/yyyy\ h:mm">
                  <c:v>43752.729166666664</c:v>
                </c:pt>
                <c:pt idx="143" formatCode="m/d/yyyy\ h:mm">
                  <c:v>43752.736111111109</c:v>
                </c:pt>
                <c:pt idx="144" formatCode="m/d/yyyy\ h:mm">
                  <c:v>43752.743055555555</c:v>
                </c:pt>
                <c:pt idx="145" formatCode="m/d/yyyy\ h:mm">
                  <c:v>43752.75</c:v>
                </c:pt>
                <c:pt idx="146" formatCode="m/d/yyyy\ h:mm">
                  <c:v>43752.756944444445</c:v>
                </c:pt>
                <c:pt idx="147" formatCode="m/d/yyyy\ h:mm">
                  <c:v>43752.763888888891</c:v>
                </c:pt>
                <c:pt idx="148" formatCode="m/d/yyyy\ h:mm">
                  <c:v>43752.770833333336</c:v>
                </c:pt>
                <c:pt idx="149" formatCode="m/d/yyyy\ h:mm">
                  <c:v>43752.777777777781</c:v>
                </c:pt>
                <c:pt idx="150" formatCode="m/d/yyyy\ h:mm">
                  <c:v>43752.784722222219</c:v>
                </c:pt>
                <c:pt idx="151" formatCode="m/d/yyyy\ h:mm">
                  <c:v>43752.791666666664</c:v>
                </c:pt>
              </c:numCache>
            </c:numRef>
          </c:xVal>
          <c:yVal>
            <c:numRef>
              <c:f>Main_Day1_2!$D$6:$D$157</c:f>
              <c:numCache>
                <c:formatCode>General</c:formatCode>
                <c:ptCount val="152"/>
                <c:pt idx="0">
                  <c:v>17999995.100000001</c:v>
                </c:pt>
                <c:pt idx="1">
                  <c:v>17999982</c:v>
                </c:pt>
                <c:pt idx="2">
                  <c:v>17999962.449999999</c:v>
                </c:pt>
                <c:pt idx="3">
                  <c:v>17999939.100000001</c:v>
                </c:pt>
                <c:pt idx="4">
                  <c:v>17999913.449999999</c:v>
                </c:pt>
                <c:pt idx="5">
                  <c:v>17999886.449999999</c:v>
                </c:pt>
                <c:pt idx="6">
                  <c:v>17999858.699999999</c:v>
                </c:pt>
                <c:pt idx="7">
                  <c:v>17999830.550000001</c:v>
                </c:pt>
                <c:pt idx="8">
                  <c:v>17999802.25</c:v>
                </c:pt>
                <c:pt idx="9">
                  <c:v>17999774.050000001</c:v>
                </c:pt>
                <c:pt idx="10">
                  <c:v>17999746.050000001</c:v>
                </c:pt>
                <c:pt idx="11">
                  <c:v>17999718.449999999</c:v>
                </c:pt>
                <c:pt idx="12">
                  <c:v>18000396.263122771</c:v>
                </c:pt>
                <c:pt idx="13">
                  <c:v>18000369.663122773</c:v>
                </c:pt>
                <c:pt idx="14">
                  <c:v>18000343.663122773</c:v>
                </c:pt>
                <c:pt idx="15">
                  <c:v>18000318.363122772</c:v>
                </c:pt>
                <c:pt idx="16">
                  <c:v>18000293.813122772</c:v>
                </c:pt>
                <c:pt idx="17">
                  <c:v>18000270.113122772</c:v>
                </c:pt>
                <c:pt idx="18">
                  <c:v>18000247.313122772</c:v>
                </c:pt>
                <c:pt idx="19">
                  <c:v>18000225.46312277</c:v>
                </c:pt>
                <c:pt idx="20">
                  <c:v>18000204.563122772</c:v>
                </c:pt>
                <c:pt idx="21">
                  <c:v>18000184.763122771</c:v>
                </c:pt>
                <c:pt idx="22">
                  <c:v>18000165.96312277</c:v>
                </c:pt>
                <c:pt idx="23">
                  <c:v>18000148.313122772</c:v>
                </c:pt>
                <c:pt idx="24">
                  <c:v>18000131.863122772</c:v>
                </c:pt>
                <c:pt idx="25">
                  <c:v>18000116.563122772</c:v>
                </c:pt>
                <c:pt idx="26">
                  <c:v>18000102.513122771</c:v>
                </c:pt>
                <c:pt idx="27">
                  <c:v>18000089.663122773</c:v>
                </c:pt>
                <c:pt idx="28">
                  <c:v>18000078.113122772</c:v>
                </c:pt>
                <c:pt idx="29">
                  <c:v>18000067.913122773</c:v>
                </c:pt>
                <c:pt idx="30">
                  <c:v>18000058.96312277</c:v>
                </c:pt>
                <c:pt idx="31">
                  <c:v>18000051.413122773</c:v>
                </c:pt>
                <c:pt idx="32">
                  <c:v>18000045.21312277</c:v>
                </c:pt>
                <c:pt idx="33">
                  <c:v>18000040.363122772</c:v>
                </c:pt>
                <c:pt idx="34">
                  <c:v>18000036.863122772</c:v>
                </c:pt>
                <c:pt idx="35">
                  <c:v>18000034.763122771</c:v>
                </c:pt>
                <c:pt idx="36">
                  <c:v>18000034.113122772</c:v>
                </c:pt>
                <c:pt idx="37">
                  <c:v>17999183.10095799</c:v>
                </c:pt>
                <c:pt idx="38">
                  <c:v>17999187.300957989</c:v>
                </c:pt>
                <c:pt idx="39">
                  <c:v>17999194.300957989</c:v>
                </c:pt>
                <c:pt idx="40">
                  <c:v>17999203.900957987</c:v>
                </c:pt>
                <c:pt idx="41">
                  <c:v>17999216.400957987</c:v>
                </c:pt>
                <c:pt idx="42">
                  <c:v>17999231.500957988</c:v>
                </c:pt>
                <c:pt idx="43">
                  <c:v>17999249.300957989</c:v>
                </c:pt>
                <c:pt idx="44">
                  <c:v>17999269.800957989</c:v>
                </c:pt>
                <c:pt idx="45">
                  <c:v>17999292.900957987</c:v>
                </c:pt>
                <c:pt idx="46">
                  <c:v>17999318.500957988</c:v>
                </c:pt>
                <c:pt idx="47">
                  <c:v>17999346.700957987</c:v>
                </c:pt>
                <c:pt idx="48">
                  <c:v>17999377.200957987</c:v>
                </c:pt>
                <c:pt idx="49">
                  <c:v>17999410.200957987</c:v>
                </c:pt>
                <c:pt idx="50">
                  <c:v>17999445.500957988</c:v>
                </c:pt>
                <c:pt idx="51">
                  <c:v>17999483.000957988</c:v>
                </c:pt>
                <c:pt idx="52">
                  <c:v>17999522.700957987</c:v>
                </c:pt>
                <c:pt idx="53">
                  <c:v>17999564.500957988</c:v>
                </c:pt>
                <c:pt idx="54">
                  <c:v>17999608.200957987</c:v>
                </c:pt>
                <c:pt idx="55">
                  <c:v>17999653.800957989</c:v>
                </c:pt>
                <c:pt idx="56">
                  <c:v>17999701.200957987</c:v>
                </c:pt>
                <c:pt idx="57">
                  <c:v>17999750.200957987</c:v>
                </c:pt>
                <c:pt idx="58">
                  <c:v>17999800.800957989</c:v>
                </c:pt>
                <c:pt idx="59">
                  <c:v>17999852.800957989</c:v>
                </c:pt>
                <c:pt idx="60">
                  <c:v>17999906.10095799</c:v>
                </c:pt>
                <c:pt idx="61">
                  <c:v>17999960.400957987</c:v>
                </c:pt>
                <c:pt idx="62">
                  <c:v>18000015.700957987</c:v>
                </c:pt>
                <c:pt idx="63">
                  <c:v>18000071.60095799</c:v>
                </c:pt>
                <c:pt idx="64">
                  <c:v>18000128.10095799</c:v>
                </c:pt>
                <c:pt idx="65">
                  <c:v>18000184.60095799</c:v>
                </c:pt>
                <c:pt idx="66">
                  <c:v>17999717.300000001</c:v>
                </c:pt>
                <c:pt idx="67">
                  <c:v>17999772.899999999</c:v>
                </c:pt>
                <c:pt idx="68">
                  <c:v>17999826.800000001</c:v>
                </c:pt>
                <c:pt idx="69">
                  <c:v>17999878.100000001</c:v>
                </c:pt>
                <c:pt idx="70">
                  <c:v>17999924.899999999</c:v>
                </c:pt>
                <c:pt idx="71">
                  <c:v>17999964</c:v>
                </c:pt>
                <c:pt idx="72">
                  <c:v>17999990.199999999</c:v>
                </c:pt>
                <c:pt idx="73">
                  <c:v>17999984.32</c:v>
                </c:pt>
                <c:pt idx="74">
                  <c:v>17999962.719999999</c:v>
                </c:pt>
                <c:pt idx="75">
                  <c:v>17999917.66</c:v>
                </c:pt>
                <c:pt idx="76">
                  <c:v>17999844.579999998</c:v>
                </c:pt>
                <c:pt idx="77">
                  <c:v>17999740.719999999</c:v>
                </c:pt>
                <c:pt idx="78">
                  <c:v>17999604.460000001</c:v>
                </c:pt>
                <c:pt idx="79">
                  <c:v>17999434.899999999</c:v>
                </c:pt>
                <c:pt idx="80">
                  <c:v>17999231.559999999</c:v>
                </c:pt>
                <c:pt idx="81">
                  <c:v>17998994.259999998</c:v>
                </c:pt>
                <c:pt idx="82">
                  <c:v>17998723.120000001</c:v>
                </c:pt>
                <c:pt idx="83">
                  <c:v>17998418.379999999</c:v>
                </c:pt>
                <c:pt idx="84">
                  <c:v>17998080.52</c:v>
                </c:pt>
                <c:pt idx="85">
                  <c:v>17998233.620957989</c:v>
                </c:pt>
                <c:pt idx="86">
                  <c:v>17998354.801915977</c:v>
                </c:pt>
                <c:pt idx="87">
                  <c:v>17998444.782873966</c:v>
                </c:pt>
                <c:pt idx="88">
                  <c:v>17998504.403831951</c:v>
                </c:pt>
                <c:pt idx="89">
                  <c:v>17998534.56478994</c:v>
                </c:pt>
                <c:pt idx="90">
                  <c:v>17998536.28574793</c:v>
                </c:pt>
                <c:pt idx="91">
                  <c:v>17998510.646705918</c:v>
                </c:pt>
                <c:pt idx="92">
                  <c:v>17998458.787663907</c:v>
                </c:pt>
                <c:pt idx="93">
                  <c:v>17998381.848621894</c:v>
                </c:pt>
                <c:pt idx="94">
                  <c:v>17998281.149579883</c:v>
                </c:pt>
                <c:pt idx="95">
                  <c:v>17998157.890537873</c:v>
                </c:pt>
                <c:pt idx="96">
                  <c:v>17998013.45149586</c:v>
                </c:pt>
                <c:pt idx="97">
                  <c:v>17997849.272453848</c:v>
                </c:pt>
                <c:pt idx="98">
                  <c:v>17997666.733411837</c:v>
                </c:pt>
                <c:pt idx="99">
                  <c:v>17997755.359040942</c:v>
                </c:pt>
                <c:pt idx="100">
                  <c:v>17997828.564670049</c:v>
                </c:pt>
                <c:pt idx="101">
                  <c:v>17997887.910299152</c:v>
                </c:pt>
                <c:pt idx="102">
                  <c:v>17997935.015928257</c:v>
                </c:pt>
                <c:pt idx="103">
                  <c:v>17997971.38155736</c:v>
                </c:pt>
                <c:pt idx="104">
                  <c:v>17997998.687186468</c:v>
                </c:pt>
                <c:pt idx="105">
                  <c:v>17998018.552815571</c:v>
                </c:pt>
                <c:pt idx="106">
                  <c:v>17998032.598444678</c:v>
                </c:pt>
                <c:pt idx="107">
                  <c:v>17998042.444073781</c:v>
                </c:pt>
                <c:pt idx="108">
                  <c:v>17998049.769702885</c:v>
                </c:pt>
                <c:pt idx="109">
                  <c:v>17998056.315331992</c:v>
                </c:pt>
                <c:pt idx="110">
                  <c:v>17998063.640961096</c:v>
                </c:pt>
                <c:pt idx="111">
                  <c:v>17998073.486590203</c:v>
                </c:pt>
                <c:pt idx="112">
                  <c:v>17998087.532219306</c:v>
                </c:pt>
                <c:pt idx="113">
                  <c:v>17998107.33784841</c:v>
                </c:pt>
                <c:pt idx="114">
                  <c:v>17998134.643477518</c:v>
                </c:pt>
                <c:pt idx="115">
                  <c:v>17998171.009106621</c:v>
                </c:pt>
                <c:pt idx="116">
                  <c:v>17998218.054735728</c:v>
                </c:pt>
                <c:pt idx="117">
                  <c:v>17998277.400364831</c:v>
                </c:pt>
                <c:pt idx="118">
                  <c:v>17998350.605993938</c:v>
                </c:pt>
                <c:pt idx="119">
                  <c:v>17998439.17162304</c:v>
                </c:pt>
                <c:pt idx="120">
                  <c:v>17998544.657252148</c:v>
                </c:pt>
                <c:pt idx="121">
                  <c:v>17998668.442881253</c:v>
                </c:pt>
                <c:pt idx="122">
                  <c:v>17998812.028510358</c:v>
                </c:pt>
                <c:pt idx="123">
                  <c:v>17998976.79413946</c:v>
                </c:pt>
                <c:pt idx="124">
                  <c:v>17999164.059768565</c:v>
                </c:pt>
                <c:pt idx="125">
                  <c:v>17999375.145397671</c:v>
                </c:pt>
                <c:pt idx="126">
                  <c:v>17999611.311026778</c:v>
                </c:pt>
                <c:pt idx="127">
                  <c:v>17999873.696655881</c:v>
                </c:pt>
                <c:pt idx="128">
                  <c:v>18000163.442284986</c:v>
                </c:pt>
                <c:pt idx="129">
                  <c:v>18000481.62791409</c:v>
                </c:pt>
                <c:pt idx="130">
                  <c:v>18000829.213543195</c:v>
                </c:pt>
                <c:pt idx="131">
                  <c:v>18001207.1591723</c:v>
                </c:pt>
                <c:pt idx="132">
                  <c:v>18001616.304801404</c:v>
                </c:pt>
                <c:pt idx="133">
                  <c:v>18002057.430430513</c:v>
                </c:pt>
                <c:pt idx="134">
                  <c:v>18002531.136059616</c:v>
                </c:pt>
                <c:pt idx="135">
                  <c:v>18003038.021688722</c:v>
                </c:pt>
                <c:pt idx="136">
                  <c:v>18003578.447317827</c:v>
                </c:pt>
                <c:pt idx="137">
                  <c:v>18004152.772946931</c:v>
                </c:pt>
                <c:pt idx="138">
                  <c:v>18004760.998576038</c:v>
                </c:pt>
                <c:pt idx="139">
                  <c:v>18005403.004205141</c:v>
                </c:pt>
                <c:pt idx="140">
                  <c:v>18005266.74420514</c:v>
                </c:pt>
                <c:pt idx="141">
                  <c:v>18005162.824205142</c:v>
                </c:pt>
                <c:pt idx="142">
                  <c:v>18005089.684205141</c:v>
                </c:pt>
                <c:pt idx="143">
                  <c:v>18005044.624205142</c:v>
                </c:pt>
                <c:pt idx="144">
                  <c:v>18005023.024205141</c:v>
                </c:pt>
                <c:pt idx="145">
                  <c:v>18005017.144205142</c:v>
                </c:pt>
                <c:pt idx="146">
                  <c:v>18005017.144205142</c:v>
                </c:pt>
                <c:pt idx="147">
                  <c:v>18005017.144205142</c:v>
                </c:pt>
                <c:pt idx="148">
                  <c:v>18005017.144205142</c:v>
                </c:pt>
                <c:pt idx="149">
                  <c:v>18005017.144205142</c:v>
                </c:pt>
                <c:pt idx="150">
                  <c:v>18005017.144205142</c:v>
                </c:pt>
                <c:pt idx="151">
                  <c:v>18005017.144205142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34A7-4512-BBFC-A7C2D79E422F}"/>
            </c:ext>
          </c:extLst>
        </c:ser>
        <c:ser>
          <c:idx val="2"/>
          <c:order val="2"/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Main_Day1_2!$B$6:$B$157</c:f>
              <c:numCache>
                <c:formatCode>yyyy/m/d\ h:mm;@</c:formatCode>
                <c:ptCount val="152"/>
                <c:pt idx="0">
                  <c:v>43751.25</c:v>
                </c:pt>
                <c:pt idx="1">
                  <c:v>43751.256944444445</c:v>
                </c:pt>
                <c:pt idx="2">
                  <c:v>43751.263888888891</c:v>
                </c:pt>
                <c:pt idx="3">
                  <c:v>43751.270833333336</c:v>
                </c:pt>
                <c:pt idx="4">
                  <c:v>43751.277777777781</c:v>
                </c:pt>
                <c:pt idx="5">
                  <c:v>43751.284722222219</c:v>
                </c:pt>
                <c:pt idx="6">
                  <c:v>43751.291666666664</c:v>
                </c:pt>
                <c:pt idx="7">
                  <c:v>43751.298611111109</c:v>
                </c:pt>
                <c:pt idx="8">
                  <c:v>43751.305555555555</c:v>
                </c:pt>
                <c:pt idx="9">
                  <c:v>43751.3125</c:v>
                </c:pt>
                <c:pt idx="10">
                  <c:v>43751.319444444445</c:v>
                </c:pt>
                <c:pt idx="11">
                  <c:v>43751.326388888891</c:v>
                </c:pt>
                <c:pt idx="12">
                  <c:v>43751.333333333336</c:v>
                </c:pt>
                <c:pt idx="13">
                  <c:v>43751.340277777781</c:v>
                </c:pt>
                <c:pt idx="14">
                  <c:v>43751.347222222219</c:v>
                </c:pt>
                <c:pt idx="15">
                  <c:v>43751.354166666664</c:v>
                </c:pt>
                <c:pt idx="16">
                  <c:v>43751.361111111109</c:v>
                </c:pt>
                <c:pt idx="17">
                  <c:v>43751.368055555555</c:v>
                </c:pt>
                <c:pt idx="18">
                  <c:v>43751.375</c:v>
                </c:pt>
                <c:pt idx="19">
                  <c:v>43751.381944444445</c:v>
                </c:pt>
                <c:pt idx="20">
                  <c:v>43751.388888888891</c:v>
                </c:pt>
                <c:pt idx="21">
                  <c:v>43751.395833333336</c:v>
                </c:pt>
                <c:pt idx="22">
                  <c:v>43751.402777777781</c:v>
                </c:pt>
                <c:pt idx="23">
                  <c:v>43751.409722222219</c:v>
                </c:pt>
                <c:pt idx="24">
                  <c:v>43751.416666666664</c:v>
                </c:pt>
                <c:pt idx="25">
                  <c:v>43751.423611111109</c:v>
                </c:pt>
                <c:pt idx="26">
                  <c:v>43751.430555555555</c:v>
                </c:pt>
                <c:pt idx="27">
                  <c:v>43751.4375</c:v>
                </c:pt>
                <c:pt idx="28">
                  <c:v>43751.444444444445</c:v>
                </c:pt>
                <c:pt idx="29">
                  <c:v>43751.451388888891</c:v>
                </c:pt>
                <c:pt idx="30">
                  <c:v>43751.458333333336</c:v>
                </c:pt>
                <c:pt idx="31">
                  <c:v>43751.465277777781</c:v>
                </c:pt>
                <c:pt idx="32">
                  <c:v>43751.472222222219</c:v>
                </c:pt>
                <c:pt idx="33">
                  <c:v>43751.479166666664</c:v>
                </c:pt>
                <c:pt idx="34">
                  <c:v>43751.486111111109</c:v>
                </c:pt>
                <c:pt idx="35">
                  <c:v>43751.493055555555</c:v>
                </c:pt>
                <c:pt idx="36">
                  <c:v>43751.5</c:v>
                </c:pt>
                <c:pt idx="37">
                  <c:v>43751.506944444445</c:v>
                </c:pt>
                <c:pt idx="38">
                  <c:v>43751.513888888891</c:v>
                </c:pt>
                <c:pt idx="39">
                  <c:v>43751.520833333336</c:v>
                </c:pt>
                <c:pt idx="40">
                  <c:v>43751.527777777781</c:v>
                </c:pt>
                <c:pt idx="41">
                  <c:v>43751.534722222219</c:v>
                </c:pt>
                <c:pt idx="42">
                  <c:v>43751.541666666664</c:v>
                </c:pt>
                <c:pt idx="43">
                  <c:v>43751.548611111109</c:v>
                </c:pt>
                <c:pt idx="44">
                  <c:v>43751.555555555555</c:v>
                </c:pt>
                <c:pt idx="45">
                  <c:v>43751.5625</c:v>
                </c:pt>
                <c:pt idx="46">
                  <c:v>43751.569444444445</c:v>
                </c:pt>
                <c:pt idx="47">
                  <c:v>43751.576388888891</c:v>
                </c:pt>
                <c:pt idx="48">
                  <c:v>43751.583333333336</c:v>
                </c:pt>
                <c:pt idx="49">
                  <c:v>43751.590277777781</c:v>
                </c:pt>
                <c:pt idx="50">
                  <c:v>43751.597222222219</c:v>
                </c:pt>
                <c:pt idx="51">
                  <c:v>43751.604166666664</c:v>
                </c:pt>
                <c:pt idx="52">
                  <c:v>43751.611111111109</c:v>
                </c:pt>
                <c:pt idx="53">
                  <c:v>43751.618055555555</c:v>
                </c:pt>
                <c:pt idx="54">
                  <c:v>43751.625</c:v>
                </c:pt>
                <c:pt idx="55">
                  <c:v>43751.631944444445</c:v>
                </c:pt>
                <c:pt idx="56">
                  <c:v>43751.638888888891</c:v>
                </c:pt>
                <c:pt idx="57">
                  <c:v>43751.645833333336</c:v>
                </c:pt>
                <c:pt idx="58">
                  <c:v>43751.652777777781</c:v>
                </c:pt>
                <c:pt idx="59">
                  <c:v>43751.659722222219</c:v>
                </c:pt>
                <c:pt idx="60">
                  <c:v>43751.666666666664</c:v>
                </c:pt>
                <c:pt idx="61">
                  <c:v>43751.673611111109</c:v>
                </c:pt>
                <c:pt idx="62">
                  <c:v>43751.680555555555</c:v>
                </c:pt>
                <c:pt idx="63">
                  <c:v>43751.6875</c:v>
                </c:pt>
                <c:pt idx="64">
                  <c:v>43751.694444444445</c:v>
                </c:pt>
                <c:pt idx="65">
                  <c:v>43751.701388888891</c:v>
                </c:pt>
                <c:pt idx="66">
                  <c:v>43751.708333333336</c:v>
                </c:pt>
                <c:pt idx="67">
                  <c:v>43751.715277777781</c:v>
                </c:pt>
                <c:pt idx="68">
                  <c:v>43751.722222222219</c:v>
                </c:pt>
                <c:pt idx="69">
                  <c:v>43751.729166666664</c:v>
                </c:pt>
                <c:pt idx="70">
                  <c:v>43751.736111111109</c:v>
                </c:pt>
                <c:pt idx="71">
                  <c:v>43751.743055555555</c:v>
                </c:pt>
                <c:pt idx="72">
                  <c:v>43751.75</c:v>
                </c:pt>
                <c:pt idx="73" formatCode="m/d/yyyy\ h:mm">
                  <c:v>43752.25</c:v>
                </c:pt>
                <c:pt idx="74" formatCode="m/d/yyyy\ h:mm">
                  <c:v>43752.256944444445</c:v>
                </c:pt>
                <c:pt idx="75" formatCode="m/d/yyyy\ h:mm">
                  <c:v>43752.263888888891</c:v>
                </c:pt>
                <c:pt idx="76" formatCode="m/d/yyyy\ h:mm">
                  <c:v>43752.270833333336</c:v>
                </c:pt>
                <c:pt idx="77" formatCode="m/d/yyyy\ h:mm">
                  <c:v>43752.277777777781</c:v>
                </c:pt>
                <c:pt idx="78" formatCode="m/d/yyyy\ h:mm">
                  <c:v>43752.284722222219</c:v>
                </c:pt>
                <c:pt idx="79" formatCode="m/d/yyyy\ h:mm">
                  <c:v>43752.291666666664</c:v>
                </c:pt>
                <c:pt idx="80" formatCode="m/d/yyyy\ h:mm">
                  <c:v>43752.298611111109</c:v>
                </c:pt>
                <c:pt idx="81" formatCode="m/d/yyyy\ h:mm">
                  <c:v>43752.305555555555</c:v>
                </c:pt>
                <c:pt idx="82" formatCode="m/d/yyyy\ h:mm">
                  <c:v>43752.3125</c:v>
                </c:pt>
                <c:pt idx="83" formatCode="m/d/yyyy\ h:mm">
                  <c:v>43752.319444444445</c:v>
                </c:pt>
                <c:pt idx="84" formatCode="m/d/yyyy\ h:mm">
                  <c:v>43752.326388888891</c:v>
                </c:pt>
                <c:pt idx="85" formatCode="m/d/yyyy\ h:mm">
                  <c:v>43752.333333333336</c:v>
                </c:pt>
                <c:pt idx="86" formatCode="m/d/yyyy\ h:mm">
                  <c:v>43752.340277777781</c:v>
                </c:pt>
                <c:pt idx="87" formatCode="m/d/yyyy\ h:mm">
                  <c:v>43752.347222222219</c:v>
                </c:pt>
                <c:pt idx="88" formatCode="m/d/yyyy\ h:mm">
                  <c:v>43752.354166666664</c:v>
                </c:pt>
                <c:pt idx="89" formatCode="m/d/yyyy\ h:mm">
                  <c:v>43752.361111111109</c:v>
                </c:pt>
                <c:pt idx="90" formatCode="m/d/yyyy\ h:mm">
                  <c:v>43752.368055555555</c:v>
                </c:pt>
                <c:pt idx="91" formatCode="m/d/yyyy\ h:mm">
                  <c:v>43752.375</c:v>
                </c:pt>
                <c:pt idx="92" formatCode="m/d/yyyy\ h:mm">
                  <c:v>43752.381944444445</c:v>
                </c:pt>
                <c:pt idx="93" formatCode="m/d/yyyy\ h:mm">
                  <c:v>43752.388888888891</c:v>
                </c:pt>
                <c:pt idx="94" formatCode="m/d/yyyy\ h:mm">
                  <c:v>43752.395833333336</c:v>
                </c:pt>
                <c:pt idx="95" formatCode="m/d/yyyy\ h:mm">
                  <c:v>43752.402777777781</c:v>
                </c:pt>
                <c:pt idx="96" formatCode="m/d/yyyy\ h:mm">
                  <c:v>43752.409722222219</c:v>
                </c:pt>
                <c:pt idx="97" formatCode="m/d/yyyy\ h:mm">
                  <c:v>43752.416666666664</c:v>
                </c:pt>
                <c:pt idx="98" formatCode="m/d/yyyy\ h:mm">
                  <c:v>43752.423611111109</c:v>
                </c:pt>
                <c:pt idx="99" formatCode="m/d/yyyy\ h:mm">
                  <c:v>43752.430555555555</c:v>
                </c:pt>
                <c:pt idx="100" formatCode="m/d/yyyy\ h:mm">
                  <c:v>43752.4375</c:v>
                </c:pt>
                <c:pt idx="101" formatCode="m/d/yyyy\ h:mm">
                  <c:v>43752.444444444445</c:v>
                </c:pt>
                <c:pt idx="102" formatCode="m/d/yyyy\ h:mm">
                  <c:v>43752.451388888891</c:v>
                </c:pt>
                <c:pt idx="103" formatCode="m/d/yyyy\ h:mm">
                  <c:v>43752.458333333336</c:v>
                </c:pt>
                <c:pt idx="104" formatCode="m/d/yyyy\ h:mm">
                  <c:v>43752.465277777781</c:v>
                </c:pt>
                <c:pt idx="105" formatCode="m/d/yyyy\ h:mm">
                  <c:v>43752.472222222219</c:v>
                </c:pt>
                <c:pt idx="106" formatCode="m/d/yyyy\ h:mm">
                  <c:v>43752.479166666664</c:v>
                </c:pt>
                <c:pt idx="107" formatCode="m/d/yyyy\ h:mm">
                  <c:v>43752.486111111109</c:v>
                </c:pt>
                <c:pt idx="108" formatCode="m/d/yyyy\ h:mm">
                  <c:v>43752.493055555555</c:v>
                </c:pt>
                <c:pt idx="109" formatCode="m/d/yyyy\ h:mm">
                  <c:v>43752.5</c:v>
                </c:pt>
                <c:pt idx="110" formatCode="m/d/yyyy\ h:mm">
                  <c:v>43752.506944444445</c:v>
                </c:pt>
                <c:pt idx="111" formatCode="m/d/yyyy\ h:mm">
                  <c:v>43752.513888888891</c:v>
                </c:pt>
                <c:pt idx="112" formatCode="m/d/yyyy\ h:mm">
                  <c:v>43752.520833333336</c:v>
                </c:pt>
                <c:pt idx="113" formatCode="m/d/yyyy\ h:mm">
                  <c:v>43752.527777777781</c:v>
                </c:pt>
                <c:pt idx="114" formatCode="m/d/yyyy\ h:mm">
                  <c:v>43752.534722222219</c:v>
                </c:pt>
                <c:pt idx="115" formatCode="m/d/yyyy\ h:mm">
                  <c:v>43752.541666666664</c:v>
                </c:pt>
                <c:pt idx="116" formatCode="m/d/yyyy\ h:mm">
                  <c:v>43752.548611111109</c:v>
                </c:pt>
                <c:pt idx="117" formatCode="m/d/yyyy\ h:mm">
                  <c:v>43752.555555555555</c:v>
                </c:pt>
                <c:pt idx="118" formatCode="m/d/yyyy\ h:mm">
                  <c:v>43752.5625</c:v>
                </c:pt>
                <c:pt idx="119" formatCode="m/d/yyyy\ h:mm">
                  <c:v>43752.569444444445</c:v>
                </c:pt>
                <c:pt idx="120" formatCode="m/d/yyyy\ h:mm">
                  <c:v>43752.576388888891</c:v>
                </c:pt>
                <c:pt idx="121" formatCode="m/d/yyyy\ h:mm">
                  <c:v>43752.583333333336</c:v>
                </c:pt>
                <c:pt idx="122" formatCode="m/d/yyyy\ h:mm">
                  <c:v>43752.590277777781</c:v>
                </c:pt>
                <c:pt idx="123" formatCode="m/d/yyyy\ h:mm">
                  <c:v>43752.597222222219</c:v>
                </c:pt>
                <c:pt idx="124" formatCode="m/d/yyyy\ h:mm">
                  <c:v>43752.604166666664</c:v>
                </c:pt>
                <c:pt idx="125" formatCode="m/d/yyyy\ h:mm">
                  <c:v>43752.611111111109</c:v>
                </c:pt>
                <c:pt idx="126" formatCode="m/d/yyyy\ h:mm">
                  <c:v>43752.618055555555</c:v>
                </c:pt>
                <c:pt idx="127" formatCode="m/d/yyyy\ h:mm">
                  <c:v>43752.625</c:v>
                </c:pt>
                <c:pt idx="128" formatCode="m/d/yyyy\ h:mm">
                  <c:v>43752.631944444445</c:v>
                </c:pt>
                <c:pt idx="129" formatCode="m/d/yyyy\ h:mm">
                  <c:v>43752.638888888891</c:v>
                </c:pt>
                <c:pt idx="130" formatCode="m/d/yyyy\ h:mm">
                  <c:v>43752.645833333336</c:v>
                </c:pt>
                <c:pt idx="131" formatCode="m/d/yyyy\ h:mm">
                  <c:v>43752.652777777781</c:v>
                </c:pt>
                <c:pt idx="132" formatCode="m/d/yyyy\ h:mm">
                  <c:v>43752.659722222219</c:v>
                </c:pt>
                <c:pt idx="133" formatCode="m/d/yyyy\ h:mm">
                  <c:v>43752.666666666664</c:v>
                </c:pt>
                <c:pt idx="134" formatCode="m/d/yyyy\ h:mm">
                  <c:v>43752.673611111109</c:v>
                </c:pt>
                <c:pt idx="135" formatCode="m/d/yyyy\ h:mm">
                  <c:v>43752.680555555555</c:v>
                </c:pt>
                <c:pt idx="136" formatCode="m/d/yyyy\ h:mm">
                  <c:v>43752.6875</c:v>
                </c:pt>
                <c:pt idx="137" formatCode="m/d/yyyy\ h:mm">
                  <c:v>43752.694444444445</c:v>
                </c:pt>
                <c:pt idx="138" formatCode="m/d/yyyy\ h:mm">
                  <c:v>43752.701388888891</c:v>
                </c:pt>
                <c:pt idx="139" formatCode="m/d/yyyy\ h:mm">
                  <c:v>43752.708333333336</c:v>
                </c:pt>
                <c:pt idx="140" formatCode="m/d/yyyy\ h:mm">
                  <c:v>43752.715277777781</c:v>
                </c:pt>
                <c:pt idx="141" formatCode="m/d/yyyy\ h:mm">
                  <c:v>43752.722222222219</c:v>
                </c:pt>
                <c:pt idx="142" formatCode="m/d/yyyy\ h:mm">
                  <c:v>43752.729166666664</c:v>
                </c:pt>
                <c:pt idx="143" formatCode="m/d/yyyy\ h:mm">
                  <c:v>43752.736111111109</c:v>
                </c:pt>
                <c:pt idx="144" formatCode="m/d/yyyy\ h:mm">
                  <c:v>43752.743055555555</c:v>
                </c:pt>
                <c:pt idx="145" formatCode="m/d/yyyy\ h:mm">
                  <c:v>43752.75</c:v>
                </c:pt>
                <c:pt idx="146" formatCode="m/d/yyyy\ h:mm">
                  <c:v>43752.756944444445</c:v>
                </c:pt>
                <c:pt idx="147" formatCode="m/d/yyyy\ h:mm">
                  <c:v>43752.763888888891</c:v>
                </c:pt>
                <c:pt idx="148" formatCode="m/d/yyyy\ h:mm">
                  <c:v>43752.770833333336</c:v>
                </c:pt>
                <c:pt idx="149" formatCode="m/d/yyyy\ h:mm">
                  <c:v>43752.777777777781</c:v>
                </c:pt>
                <c:pt idx="150" formatCode="m/d/yyyy\ h:mm">
                  <c:v>43752.784722222219</c:v>
                </c:pt>
                <c:pt idx="151" formatCode="m/d/yyyy\ h:mm">
                  <c:v>43752.791666666664</c:v>
                </c:pt>
              </c:numCache>
            </c:numRef>
          </c:xVal>
          <c:yVal>
            <c:numRef>
              <c:f>Main_Day1_2!$E$6:$E$157</c:f>
              <c:numCache>
                <c:formatCode>General</c:formatCode>
                <c:ptCount val="152"/>
                <c:pt idx="0">
                  <c:v>4.9000000000000004</c:v>
                </c:pt>
                <c:pt idx="1">
                  <c:v>18</c:v>
                </c:pt>
                <c:pt idx="2">
                  <c:v>37.549999999999997</c:v>
                </c:pt>
                <c:pt idx="3">
                  <c:v>60.9</c:v>
                </c:pt>
                <c:pt idx="4">
                  <c:v>86.55</c:v>
                </c:pt>
                <c:pt idx="5">
                  <c:v>113.55</c:v>
                </c:pt>
                <c:pt idx="6">
                  <c:v>141.30000000000001</c:v>
                </c:pt>
                <c:pt idx="7">
                  <c:v>169.45</c:v>
                </c:pt>
                <c:pt idx="8">
                  <c:v>197.75</c:v>
                </c:pt>
                <c:pt idx="9">
                  <c:v>225.95</c:v>
                </c:pt>
                <c:pt idx="10">
                  <c:v>253.95</c:v>
                </c:pt>
                <c:pt idx="11">
                  <c:v>281.55</c:v>
                </c:pt>
                <c:pt idx="12">
                  <c:v>-396.26312277163879</c:v>
                </c:pt>
                <c:pt idx="13">
                  <c:v>-369.66312277163877</c:v>
                </c:pt>
                <c:pt idx="14">
                  <c:v>-343.66312277163877</c:v>
                </c:pt>
                <c:pt idx="15">
                  <c:v>-318.36312277163881</c:v>
                </c:pt>
                <c:pt idx="16">
                  <c:v>-293.8131227716388</c:v>
                </c:pt>
                <c:pt idx="17">
                  <c:v>-270.11312277163881</c:v>
                </c:pt>
                <c:pt idx="18">
                  <c:v>-247.3131227716388</c:v>
                </c:pt>
                <c:pt idx="19">
                  <c:v>-225.46312277163878</c:v>
                </c:pt>
                <c:pt idx="20">
                  <c:v>-204.5631227716388</c:v>
                </c:pt>
                <c:pt idx="21">
                  <c:v>-184.76312277163879</c:v>
                </c:pt>
                <c:pt idx="22">
                  <c:v>-165.96312277163884</c:v>
                </c:pt>
                <c:pt idx="23">
                  <c:v>-148.31312277163875</c:v>
                </c:pt>
                <c:pt idx="24">
                  <c:v>-131.86312277163881</c:v>
                </c:pt>
                <c:pt idx="25">
                  <c:v>-116.56312277163875</c:v>
                </c:pt>
                <c:pt idx="26">
                  <c:v>-102.51312277163879</c:v>
                </c:pt>
                <c:pt idx="27">
                  <c:v>-89.663122771638768</c:v>
                </c:pt>
                <c:pt idx="28">
                  <c:v>-78.113122771638814</c:v>
                </c:pt>
                <c:pt idx="29">
                  <c:v>-67.913122771638768</c:v>
                </c:pt>
                <c:pt idx="30">
                  <c:v>-58.963122771638837</c:v>
                </c:pt>
                <c:pt idx="31">
                  <c:v>-51.413122771638768</c:v>
                </c:pt>
                <c:pt idx="32">
                  <c:v>-45.213122771638837</c:v>
                </c:pt>
                <c:pt idx="33">
                  <c:v>-40.363122771638814</c:v>
                </c:pt>
                <c:pt idx="34">
                  <c:v>-36.863122771638814</c:v>
                </c:pt>
                <c:pt idx="35">
                  <c:v>-34.763122771638791</c:v>
                </c:pt>
                <c:pt idx="36">
                  <c:v>-34.113122771638814</c:v>
                </c:pt>
                <c:pt idx="37">
                  <c:v>816.8990420115814</c:v>
                </c:pt>
                <c:pt idx="38">
                  <c:v>812.69904201158135</c:v>
                </c:pt>
                <c:pt idx="39">
                  <c:v>805.69904201158135</c:v>
                </c:pt>
                <c:pt idx="40">
                  <c:v>796.09904201158145</c:v>
                </c:pt>
                <c:pt idx="41">
                  <c:v>783.59904201158145</c:v>
                </c:pt>
                <c:pt idx="42">
                  <c:v>768.49904201158131</c:v>
                </c:pt>
                <c:pt idx="43">
                  <c:v>750.69904201158135</c:v>
                </c:pt>
                <c:pt idx="44">
                  <c:v>730.19904201158135</c:v>
                </c:pt>
                <c:pt idx="45">
                  <c:v>707.09904201158145</c:v>
                </c:pt>
                <c:pt idx="46">
                  <c:v>681.49904201158131</c:v>
                </c:pt>
                <c:pt idx="47">
                  <c:v>653.29904201158149</c:v>
                </c:pt>
                <c:pt idx="48">
                  <c:v>622.79904201158149</c:v>
                </c:pt>
                <c:pt idx="49">
                  <c:v>589.79904201158149</c:v>
                </c:pt>
                <c:pt idx="50">
                  <c:v>554.49904201158131</c:v>
                </c:pt>
                <c:pt idx="51">
                  <c:v>516.99904201158131</c:v>
                </c:pt>
                <c:pt idx="52">
                  <c:v>477.29904201158138</c:v>
                </c:pt>
                <c:pt idx="53">
                  <c:v>435.49904201158142</c:v>
                </c:pt>
                <c:pt idx="54">
                  <c:v>391.79904201158138</c:v>
                </c:pt>
                <c:pt idx="55">
                  <c:v>346.19904201158135</c:v>
                </c:pt>
                <c:pt idx="56">
                  <c:v>298.79904201158138</c:v>
                </c:pt>
                <c:pt idx="57">
                  <c:v>249.79904201158138</c:v>
                </c:pt>
                <c:pt idx="58">
                  <c:v>199.19904201158135</c:v>
                </c:pt>
                <c:pt idx="59">
                  <c:v>147.19904201158135</c:v>
                </c:pt>
                <c:pt idx="60">
                  <c:v>93.8990420115814</c:v>
                </c:pt>
                <c:pt idx="61">
                  <c:v>39.599042011581446</c:v>
                </c:pt>
                <c:pt idx="62">
                  <c:v>-15.700957988418622</c:v>
                </c:pt>
                <c:pt idx="63">
                  <c:v>-71.6009579884186</c:v>
                </c:pt>
                <c:pt idx="64">
                  <c:v>-128.1009579884186</c:v>
                </c:pt>
                <c:pt idx="65">
                  <c:v>-184.6009579884186</c:v>
                </c:pt>
                <c:pt idx="66">
                  <c:v>282.7</c:v>
                </c:pt>
                <c:pt idx="67">
                  <c:v>227.1</c:v>
                </c:pt>
                <c:pt idx="68">
                  <c:v>173.2</c:v>
                </c:pt>
                <c:pt idx="69">
                  <c:v>121.9</c:v>
                </c:pt>
                <c:pt idx="70">
                  <c:v>75.099999999999994</c:v>
                </c:pt>
                <c:pt idx="71">
                  <c:v>36</c:v>
                </c:pt>
                <c:pt idx="72">
                  <c:v>9.8000000000000007</c:v>
                </c:pt>
                <c:pt idx="73">
                  <c:v>5.88</c:v>
                </c:pt>
                <c:pt idx="74">
                  <c:v>21.599999999999998</c:v>
                </c:pt>
                <c:pt idx="75">
                  <c:v>45.059999999999995</c:v>
                </c:pt>
                <c:pt idx="76">
                  <c:v>73.08</c:v>
                </c:pt>
                <c:pt idx="77">
                  <c:v>103.86</c:v>
                </c:pt>
                <c:pt idx="78">
                  <c:v>136.26</c:v>
                </c:pt>
                <c:pt idx="79">
                  <c:v>169.56</c:v>
                </c:pt>
                <c:pt idx="80">
                  <c:v>203.33999999999997</c:v>
                </c:pt>
                <c:pt idx="81">
                  <c:v>237.29999999999998</c:v>
                </c:pt>
                <c:pt idx="82">
                  <c:v>271.14</c:v>
                </c:pt>
                <c:pt idx="83">
                  <c:v>304.73999999999995</c:v>
                </c:pt>
                <c:pt idx="84">
                  <c:v>337.86</c:v>
                </c:pt>
                <c:pt idx="85">
                  <c:v>-153.1009579884186</c:v>
                </c:pt>
                <c:pt idx="86">
                  <c:v>-121.18095798841858</c:v>
                </c:pt>
                <c:pt idx="87">
                  <c:v>-89.980957988418595</c:v>
                </c:pt>
                <c:pt idx="88">
                  <c:v>-59.620957988418638</c:v>
                </c:pt>
                <c:pt idx="89">
                  <c:v>-30.160957988418659</c:v>
                </c:pt>
                <c:pt idx="90">
                  <c:v>-1.7209579884186041</c:v>
                </c:pt>
                <c:pt idx="91">
                  <c:v>25.639042011581409</c:v>
                </c:pt>
                <c:pt idx="92">
                  <c:v>51.859042011581437</c:v>
                </c:pt>
                <c:pt idx="93">
                  <c:v>76.939042011581364</c:v>
                </c:pt>
                <c:pt idx="94">
                  <c:v>100.69904201158135</c:v>
                </c:pt>
                <c:pt idx="95">
                  <c:v>123.2590420115813</c:v>
                </c:pt>
                <c:pt idx="96">
                  <c:v>144.43904201158148</c:v>
                </c:pt>
                <c:pt idx="97">
                  <c:v>164.17904201158137</c:v>
                </c:pt>
                <c:pt idx="98">
                  <c:v>182.53904201158139</c:v>
                </c:pt>
                <c:pt idx="99">
                  <c:v>-88.625629104970699</c:v>
                </c:pt>
                <c:pt idx="100">
                  <c:v>-73.20562910497074</c:v>
                </c:pt>
                <c:pt idx="101">
                  <c:v>-59.345629104970726</c:v>
                </c:pt>
                <c:pt idx="102">
                  <c:v>-47.105629104970717</c:v>
                </c:pt>
                <c:pt idx="103">
                  <c:v>-36.365629104970822</c:v>
                </c:pt>
                <c:pt idx="104">
                  <c:v>-27.305629104970649</c:v>
                </c:pt>
                <c:pt idx="105">
                  <c:v>-19.865629104970822</c:v>
                </c:pt>
                <c:pt idx="106">
                  <c:v>-14.045629104970772</c:v>
                </c:pt>
                <c:pt idx="107">
                  <c:v>-9.8456291049707261</c:v>
                </c:pt>
                <c:pt idx="108">
                  <c:v>-7.3256291049707443</c:v>
                </c:pt>
                <c:pt idx="109">
                  <c:v>-6.5456291049707716</c:v>
                </c:pt>
                <c:pt idx="110">
                  <c:v>-7.3256291049707443</c:v>
                </c:pt>
                <c:pt idx="111">
                  <c:v>-9.8456291049707261</c:v>
                </c:pt>
                <c:pt idx="112">
                  <c:v>-14.045629104970772</c:v>
                </c:pt>
                <c:pt idx="113">
                  <c:v>-19.805629104970649</c:v>
                </c:pt>
                <c:pt idx="114">
                  <c:v>-27.305629104970649</c:v>
                </c:pt>
                <c:pt idx="115">
                  <c:v>-36.365629104970822</c:v>
                </c:pt>
                <c:pt idx="116">
                  <c:v>-47.045629104970772</c:v>
                </c:pt>
                <c:pt idx="117">
                  <c:v>-59.345629104970726</c:v>
                </c:pt>
                <c:pt idx="118">
                  <c:v>-73.20562910497074</c:v>
                </c:pt>
                <c:pt idx="119">
                  <c:v>-88.565629104970753</c:v>
                </c:pt>
                <c:pt idx="120">
                  <c:v>-105.48562910497071</c:v>
                </c:pt>
                <c:pt idx="121">
                  <c:v>-123.78562910497067</c:v>
                </c:pt>
                <c:pt idx="122">
                  <c:v>-143.58562910497062</c:v>
                </c:pt>
                <c:pt idx="123">
                  <c:v>-164.7656291049708</c:v>
                </c:pt>
                <c:pt idx="124">
                  <c:v>-187.2656291049708</c:v>
                </c:pt>
                <c:pt idx="125">
                  <c:v>-211.08562910497074</c:v>
                </c:pt>
                <c:pt idx="126">
                  <c:v>-236.16562910497066</c:v>
                </c:pt>
                <c:pt idx="127">
                  <c:v>-262.38562910497069</c:v>
                </c:pt>
                <c:pt idx="128">
                  <c:v>-289.7456291049707</c:v>
                </c:pt>
                <c:pt idx="129">
                  <c:v>-318.18562910497076</c:v>
                </c:pt>
                <c:pt idx="130">
                  <c:v>-347.58562910497074</c:v>
                </c:pt>
                <c:pt idx="131">
                  <c:v>-377.94562910497075</c:v>
                </c:pt>
                <c:pt idx="132">
                  <c:v>-409.14562910497074</c:v>
                </c:pt>
                <c:pt idx="133">
                  <c:v>-441.1256291049707</c:v>
                </c:pt>
                <c:pt idx="134">
                  <c:v>-473.70562910497068</c:v>
                </c:pt>
                <c:pt idx="135">
                  <c:v>-506.88562910497075</c:v>
                </c:pt>
                <c:pt idx="136">
                  <c:v>-540.42562910497077</c:v>
                </c:pt>
                <c:pt idx="137">
                  <c:v>-574.32562910497074</c:v>
                </c:pt>
                <c:pt idx="138">
                  <c:v>-608.22562910497072</c:v>
                </c:pt>
                <c:pt idx="139">
                  <c:v>-642.00562910497069</c:v>
                </c:pt>
                <c:pt idx="140">
                  <c:v>136.26</c:v>
                </c:pt>
                <c:pt idx="141">
                  <c:v>103.91999999999999</c:v>
                </c:pt>
                <c:pt idx="142">
                  <c:v>73.14</c:v>
                </c:pt>
                <c:pt idx="143">
                  <c:v>45.059999999999995</c:v>
                </c:pt>
                <c:pt idx="144">
                  <c:v>21.599999999999998</c:v>
                </c:pt>
                <c:pt idx="145">
                  <c:v>5.88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34A7-4512-BBFC-A7C2D79E422F}"/>
            </c:ext>
          </c:extLst>
        </c:ser>
        <c:ser>
          <c:idx val="3"/>
          <c:order val="3"/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Main_Day1_2!$B$6:$B$157</c:f>
              <c:numCache>
                <c:formatCode>yyyy/m/d\ h:mm;@</c:formatCode>
                <c:ptCount val="152"/>
                <c:pt idx="0">
                  <c:v>43751.25</c:v>
                </c:pt>
                <c:pt idx="1">
                  <c:v>43751.256944444445</c:v>
                </c:pt>
                <c:pt idx="2">
                  <c:v>43751.263888888891</c:v>
                </c:pt>
                <c:pt idx="3">
                  <c:v>43751.270833333336</c:v>
                </c:pt>
                <c:pt idx="4">
                  <c:v>43751.277777777781</c:v>
                </c:pt>
                <c:pt idx="5">
                  <c:v>43751.284722222219</c:v>
                </c:pt>
                <c:pt idx="6">
                  <c:v>43751.291666666664</c:v>
                </c:pt>
                <c:pt idx="7">
                  <c:v>43751.298611111109</c:v>
                </c:pt>
                <c:pt idx="8">
                  <c:v>43751.305555555555</c:v>
                </c:pt>
                <c:pt idx="9">
                  <c:v>43751.3125</c:v>
                </c:pt>
                <c:pt idx="10">
                  <c:v>43751.319444444445</c:v>
                </c:pt>
                <c:pt idx="11">
                  <c:v>43751.326388888891</c:v>
                </c:pt>
                <c:pt idx="12">
                  <c:v>43751.333333333336</c:v>
                </c:pt>
                <c:pt idx="13">
                  <c:v>43751.340277777781</c:v>
                </c:pt>
                <c:pt idx="14">
                  <c:v>43751.347222222219</c:v>
                </c:pt>
                <c:pt idx="15">
                  <c:v>43751.354166666664</c:v>
                </c:pt>
                <c:pt idx="16">
                  <c:v>43751.361111111109</c:v>
                </c:pt>
                <c:pt idx="17">
                  <c:v>43751.368055555555</c:v>
                </c:pt>
                <c:pt idx="18">
                  <c:v>43751.375</c:v>
                </c:pt>
                <c:pt idx="19">
                  <c:v>43751.381944444445</c:v>
                </c:pt>
                <c:pt idx="20">
                  <c:v>43751.388888888891</c:v>
                </c:pt>
                <c:pt idx="21">
                  <c:v>43751.395833333336</c:v>
                </c:pt>
                <c:pt idx="22">
                  <c:v>43751.402777777781</c:v>
                </c:pt>
                <c:pt idx="23">
                  <c:v>43751.409722222219</c:v>
                </c:pt>
                <c:pt idx="24">
                  <c:v>43751.416666666664</c:v>
                </c:pt>
                <c:pt idx="25">
                  <c:v>43751.423611111109</c:v>
                </c:pt>
                <c:pt idx="26">
                  <c:v>43751.430555555555</c:v>
                </c:pt>
                <c:pt idx="27">
                  <c:v>43751.4375</c:v>
                </c:pt>
                <c:pt idx="28">
                  <c:v>43751.444444444445</c:v>
                </c:pt>
                <c:pt idx="29">
                  <c:v>43751.451388888891</c:v>
                </c:pt>
                <c:pt idx="30">
                  <c:v>43751.458333333336</c:v>
                </c:pt>
                <c:pt idx="31">
                  <c:v>43751.465277777781</c:v>
                </c:pt>
                <c:pt idx="32">
                  <c:v>43751.472222222219</c:v>
                </c:pt>
                <c:pt idx="33">
                  <c:v>43751.479166666664</c:v>
                </c:pt>
                <c:pt idx="34">
                  <c:v>43751.486111111109</c:v>
                </c:pt>
                <c:pt idx="35">
                  <c:v>43751.493055555555</c:v>
                </c:pt>
                <c:pt idx="36">
                  <c:v>43751.5</c:v>
                </c:pt>
                <c:pt idx="37">
                  <c:v>43751.506944444445</c:v>
                </c:pt>
                <c:pt idx="38">
                  <c:v>43751.513888888891</c:v>
                </c:pt>
                <c:pt idx="39">
                  <c:v>43751.520833333336</c:v>
                </c:pt>
                <c:pt idx="40">
                  <c:v>43751.527777777781</c:v>
                </c:pt>
                <c:pt idx="41">
                  <c:v>43751.534722222219</c:v>
                </c:pt>
                <c:pt idx="42">
                  <c:v>43751.541666666664</c:v>
                </c:pt>
                <c:pt idx="43">
                  <c:v>43751.548611111109</c:v>
                </c:pt>
                <c:pt idx="44">
                  <c:v>43751.555555555555</c:v>
                </c:pt>
                <c:pt idx="45">
                  <c:v>43751.5625</c:v>
                </c:pt>
                <c:pt idx="46">
                  <c:v>43751.569444444445</c:v>
                </c:pt>
                <c:pt idx="47">
                  <c:v>43751.576388888891</c:v>
                </c:pt>
                <c:pt idx="48">
                  <c:v>43751.583333333336</c:v>
                </c:pt>
                <c:pt idx="49">
                  <c:v>43751.590277777781</c:v>
                </c:pt>
                <c:pt idx="50">
                  <c:v>43751.597222222219</c:v>
                </c:pt>
                <c:pt idx="51">
                  <c:v>43751.604166666664</c:v>
                </c:pt>
                <c:pt idx="52">
                  <c:v>43751.611111111109</c:v>
                </c:pt>
                <c:pt idx="53">
                  <c:v>43751.618055555555</c:v>
                </c:pt>
                <c:pt idx="54">
                  <c:v>43751.625</c:v>
                </c:pt>
                <c:pt idx="55">
                  <c:v>43751.631944444445</c:v>
                </c:pt>
                <c:pt idx="56">
                  <c:v>43751.638888888891</c:v>
                </c:pt>
                <c:pt idx="57">
                  <c:v>43751.645833333336</c:v>
                </c:pt>
                <c:pt idx="58">
                  <c:v>43751.652777777781</c:v>
                </c:pt>
                <c:pt idx="59">
                  <c:v>43751.659722222219</c:v>
                </c:pt>
                <c:pt idx="60">
                  <c:v>43751.666666666664</c:v>
                </c:pt>
                <c:pt idx="61">
                  <c:v>43751.673611111109</c:v>
                </c:pt>
                <c:pt idx="62">
                  <c:v>43751.680555555555</c:v>
                </c:pt>
                <c:pt idx="63">
                  <c:v>43751.6875</c:v>
                </c:pt>
                <c:pt idx="64">
                  <c:v>43751.694444444445</c:v>
                </c:pt>
                <c:pt idx="65">
                  <c:v>43751.701388888891</c:v>
                </c:pt>
                <c:pt idx="66">
                  <c:v>43751.708333333336</c:v>
                </c:pt>
                <c:pt idx="67">
                  <c:v>43751.715277777781</c:v>
                </c:pt>
                <c:pt idx="68">
                  <c:v>43751.722222222219</c:v>
                </c:pt>
                <c:pt idx="69">
                  <c:v>43751.729166666664</c:v>
                </c:pt>
                <c:pt idx="70">
                  <c:v>43751.736111111109</c:v>
                </c:pt>
                <c:pt idx="71">
                  <c:v>43751.743055555555</c:v>
                </c:pt>
                <c:pt idx="72">
                  <c:v>43751.75</c:v>
                </c:pt>
                <c:pt idx="73" formatCode="m/d/yyyy\ h:mm">
                  <c:v>43752.25</c:v>
                </c:pt>
                <c:pt idx="74" formatCode="m/d/yyyy\ h:mm">
                  <c:v>43752.256944444445</c:v>
                </c:pt>
                <c:pt idx="75" formatCode="m/d/yyyy\ h:mm">
                  <c:v>43752.263888888891</c:v>
                </c:pt>
                <c:pt idx="76" formatCode="m/d/yyyy\ h:mm">
                  <c:v>43752.270833333336</c:v>
                </c:pt>
                <c:pt idx="77" formatCode="m/d/yyyy\ h:mm">
                  <c:v>43752.277777777781</c:v>
                </c:pt>
                <c:pt idx="78" formatCode="m/d/yyyy\ h:mm">
                  <c:v>43752.284722222219</c:v>
                </c:pt>
                <c:pt idx="79" formatCode="m/d/yyyy\ h:mm">
                  <c:v>43752.291666666664</c:v>
                </c:pt>
                <c:pt idx="80" formatCode="m/d/yyyy\ h:mm">
                  <c:v>43752.298611111109</c:v>
                </c:pt>
                <c:pt idx="81" formatCode="m/d/yyyy\ h:mm">
                  <c:v>43752.305555555555</c:v>
                </c:pt>
                <c:pt idx="82" formatCode="m/d/yyyy\ h:mm">
                  <c:v>43752.3125</c:v>
                </c:pt>
                <c:pt idx="83" formatCode="m/d/yyyy\ h:mm">
                  <c:v>43752.319444444445</c:v>
                </c:pt>
                <c:pt idx="84" formatCode="m/d/yyyy\ h:mm">
                  <c:v>43752.326388888891</c:v>
                </c:pt>
                <c:pt idx="85" formatCode="m/d/yyyy\ h:mm">
                  <c:v>43752.333333333336</c:v>
                </c:pt>
                <c:pt idx="86" formatCode="m/d/yyyy\ h:mm">
                  <c:v>43752.340277777781</c:v>
                </c:pt>
                <c:pt idx="87" formatCode="m/d/yyyy\ h:mm">
                  <c:v>43752.347222222219</c:v>
                </c:pt>
                <c:pt idx="88" formatCode="m/d/yyyy\ h:mm">
                  <c:v>43752.354166666664</c:v>
                </c:pt>
                <c:pt idx="89" formatCode="m/d/yyyy\ h:mm">
                  <c:v>43752.361111111109</c:v>
                </c:pt>
                <c:pt idx="90" formatCode="m/d/yyyy\ h:mm">
                  <c:v>43752.368055555555</c:v>
                </c:pt>
                <c:pt idx="91" formatCode="m/d/yyyy\ h:mm">
                  <c:v>43752.375</c:v>
                </c:pt>
                <c:pt idx="92" formatCode="m/d/yyyy\ h:mm">
                  <c:v>43752.381944444445</c:v>
                </c:pt>
                <c:pt idx="93" formatCode="m/d/yyyy\ h:mm">
                  <c:v>43752.388888888891</c:v>
                </c:pt>
                <c:pt idx="94" formatCode="m/d/yyyy\ h:mm">
                  <c:v>43752.395833333336</c:v>
                </c:pt>
                <c:pt idx="95" formatCode="m/d/yyyy\ h:mm">
                  <c:v>43752.402777777781</c:v>
                </c:pt>
                <c:pt idx="96" formatCode="m/d/yyyy\ h:mm">
                  <c:v>43752.409722222219</c:v>
                </c:pt>
                <c:pt idx="97" formatCode="m/d/yyyy\ h:mm">
                  <c:v>43752.416666666664</c:v>
                </c:pt>
                <c:pt idx="98" formatCode="m/d/yyyy\ h:mm">
                  <c:v>43752.423611111109</c:v>
                </c:pt>
                <c:pt idx="99" formatCode="m/d/yyyy\ h:mm">
                  <c:v>43752.430555555555</c:v>
                </c:pt>
                <c:pt idx="100" formatCode="m/d/yyyy\ h:mm">
                  <c:v>43752.4375</c:v>
                </c:pt>
                <c:pt idx="101" formatCode="m/d/yyyy\ h:mm">
                  <c:v>43752.444444444445</c:v>
                </c:pt>
                <c:pt idx="102" formatCode="m/d/yyyy\ h:mm">
                  <c:v>43752.451388888891</c:v>
                </c:pt>
                <c:pt idx="103" formatCode="m/d/yyyy\ h:mm">
                  <c:v>43752.458333333336</c:v>
                </c:pt>
                <c:pt idx="104" formatCode="m/d/yyyy\ h:mm">
                  <c:v>43752.465277777781</c:v>
                </c:pt>
                <c:pt idx="105" formatCode="m/d/yyyy\ h:mm">
                  <c:v>43752.472222222219</c:v>
                </c:pt>
                <c:pt idx="106" formatCode="m/d/yyyy\ h:mm">
                  <c:v>43752.479166666664</c:v>
                </c:pt>
                <c:pt idx="107" formatCode="m/d/yyyy\ h:mm">
                  <c:v>43752.486111111109</c:v>
                </c:pt>
                <c:pt idx="108" formatCode="m/d/yyyy\ h:mm">
                  <c:v>43752.493055555555</c:v>
                </c:pt>
                <c:pt idx="109" formatCode="m/d/yyyy\ h:mm">
                  <c:v>43752.5</c:v>
                </c:pt>
                <c:pt idx="110" formatCode="m/d/yyyy\ h:mm">
                  <c:v>43752.506944444445</c:v>
                </c:pt>
                <c:pt idx="111" formatCode="m/d/yyyy\ h:mm">
                  <c:v>43752.513888888891</c:v>
                </c:pt>
                <c:pt idx="112" formatCode="m/d/yyyy\ h:mm">
                  <c:v>43752.520833333336</c:v>
                </c:pt>
                <c:pt idx="113" formatCode="m/d/yyyy\ h:mm">
                  <c:v>43752.527777777781</c:v>
                </c:pt>
                <c:pt idx="114" formatCode="m/d/yyyy\ h:mm">
                  <c:v>43752.534722222219</c:v>
                </c:pt>
                <c:pt idx="115" formatCode="m/d/yyyy\ h:mm">
                  <c:v>43752.541666666664</c:v>
                </c:pt>
                <c:pt idx="116" formatCode="m/d/yyyy\ h:mm">
                  <c:v>43752.548611111109</c:v>
                </c:pt>
                <c:pt idx="117" formatCode="m/d/yyyy\ h:mm">
                  <c:v>43752.555555555555</c:v>
                </c:pt>
                <c:pt idx="118" formatCode="m/d/yyyy\ h:mm">
                  <c:v>43752.5625</c:v>
                </c:pt>
                <c:pt idx="119" formatCode="m/d/yyyy\ h:mm">
                  <c:v>43752.569444444445</c:v>
                </c:pt>
                <c:pt idx="120" formatCode="m/d/yyyy\ h:mm">
                  <c:v>43752.576388888891</c:v>
                </c:pt>
                <c:pt idx="121" formatCode="m/d/yyyy\ h:mm">
                  <c:v>43752.583333333336</c:v>
                </c:pt>
                <c:pt idx="122" formatCode="m/d/yyyy\ h:mm">
                  <c:v>43752.590277777781</c:v>
                </c:pt>
                <c:pt idx="123" formatCode="m/d/yyyy\ h:mm">
                  <c:v>43752.597222222219</c:v>
                </c:pt>
                <c:pt idx="124" formatCode="m/d/yyyy\ h:mm">
                  <c:v>43752.604166666664</c:v>
                </c:pt>
                <c:pt idx="125" formatCode="m/d/yyyy\ h:mm">
                  <c:v>43752.611111111109</c:v>
                </c:pt>
                <c:pt idx="126" formatCode="m/d/yyyy\ h:mm">
                  <c:v>43752.618055555555</c:v>
                </c:pt>
                <c:pt idx="127" formatCode="m/d/yyyy\ h:mm">
                  <c:v>43752.625</c:v>
                </c:pt>
                <c:pt idx="128" formatCode="m/d/yyyy\ h:mm">
                  <c:v>43752.631944444445</c:v>
                </c:pt>
                <c:pt idx="129" formatCode="m/d/yyyy\ h:mm">
                  <c:v>43752.638888888891</c:v>
                </c:pt>
                <c:pt idx="130" formatCode="m/d/yyyy\ h:mm">
                  <c:v>43752.645833333336</c:v>
                </c:pt>
                <c:pt idx="131" formatCode="m/d/yyyy\ h:mm">
                  <c:v>43752.652777777781</c:v>
                </c:pt>
                <c:pt idx="132" formatCode="m/d/yyyy\ h:mm">
                  <c:v>43752.659722222219</c:v>
                </c:pt>
                <c:pt idx="133" formatCode="m/d/yyyy\ h:mm">
                  <c:v>43752.666666666664</c:v>
                </c:pt>
                <c:pt idx="134" formatCode="m/d/yyyy\ h:mm">
                  <c:v>43752.673611111109</c:v>
                </c:pt>
                <c:pt idx="135" formatCode="m/d/yyyy\ h:mm">
                  <c:v>43752.680555555555</c:v>
                </c:pt>
                <c:pt idx="136" formatCode="m/d/yyyy\ h:mm">
                  <c:v>43752.6875</c:v>
                </c:pt>
                <c:pt idx="137" formatCode="m/d/yyyy\ h:mm">
                  <c:v>43752.694444444445</c:v>
                </c:pt>
                <c:pt idx="138" formatCode="m/d/yyyy\ h:mm">
                  <c:v>43752.701388888891</c:v>
                </c:pt>
                <c:pt idx="139" formatCode="m/d/yyyy\ h:mm">
                  <c:v>43752.708333333336</c:v>
                </c:pt>
                <c:pt idx="140" formatCode="m/d/yyyy\ h:mm">
                  <c:v>43752.715277777781</c:v>
                </c:pt>
                <c:pt idx="141" formatCode="m/d/yyyy\ h:mm">
                  <c:v>43752.722222222219</c:v>
                </c:pt>
                <c:pt idx="142" formatCode="m/d/yyyy\ h:mm">
                  <c:v>43752.729166666664</c:v>
                </c:pt>
                <c:pt idx="143" formatCode="m/d/yyyy\ h:mm">
                  <c:v>43752.736111111109</c:v>
                </c:pt>
                <c:pt idx="144" formatCode="m/d/yyyy\ h:mm">
                  <c:v>43752.743055555555</c:v>
                </c:pt>
                <c:pt idx="145" formatCode="m/d/yyyy\ h:mm">
                  <c:v>43752.75</c:v>
                </c:pt>
                <c:pt idx="146" formatCode="m/d/yyyy\ h:mm">
                  <c:v>43752.756944444445</c:v>
                </c:pt>
                <c:pt idx="147" formatCode="m/d/yyyy\ h:mm">
                  <c:v>43752.763888888891</c:v>
                </c:pt>
                <c:pt idx="148" formatCode="m/d/yyyy\ h:mm">
                  <c:v>43752.770833333336</c:v>
                </c:pt>
                <c:pt idx="149" formatCode="m/d/yyyy\ h:mm">
                  <c:v>43752.777777777781</c:v>
                </c:pt>
                <c:pt idx="150" formatCode="m/d/yyyy\ h:mm">
                  <c:v>43752.784722222219</c:v>
                </c:pt>
                <c:pt idx="151" formatCode="m/d/yyyy\ h:mm">
                  <c:v>43752.791666666664</c:v>
                </c:pt>
              </c:numCache>
            </c:numRef>
          </c:xVal>
          <c:yVal>
            <c:numRef>
              <c:f>Main_Day1_2!$F$6:$F$157</c:f>
              <c:numCache>
                <c:formatCode>General</c:formatCode>
                <c:ptCount val="152"/>
                <c:pt idx="0">
                  <c:v>4.9000000000000004</c:v>
                </c:pt>
                <c:pt idx="1">
                  <c:v>18</c:v>
                </c:pt>
                <c:pt idx="2">
                  <c:v>37.549999999999997</c:v>
                </c:pt>
                <c:pt idx="3">
                  <c:v>60.9</c:v>
                </c:pt>
                <c:pt idx="4">
                  <c:v>86.55</c:v>
                </c:pt>
                <c:pt idx="5">
                  <c:v>113.55</c:v>
                </c:pt>
                <c:pt idx="6">
                  <c:v>141.30000000000001</c:v>
                </c:pt>
                <c:pt idx="7">
                  <c:v>169.45</c:v>
                </c:pt>
                <c:pt idx="8">
                  <c:v>197.75</c:v>
                </c:pt>
                <c:pt idx="9">
                  <c:v>225.95</c:v>
                </c:pt>
                <c:pt idx="10">
                  <c:v>253.95</c:v>
                </c:pt>
                <c:pt idx="11">
                  <c:v>281.55</c:v>
                </c:pt>
                <c:pt idx="12">
                  <c:v>308.75</c:v>
                </c:pt>
                <c:pt idx="13">
                  <c:v>335.35</c:v>
                </c:pt>
                <c:pt idx="14">
                  <c:v>361.35</c:v>
                </c:pt>
                <c:pt idx="15">
                  <c:v>386.65</c:v>
                </c:pt>
                <c:pt idx="16">
                  <c:v>411.2</c:v>
                </c:pt>
                <c:pt idx="17">
                  <c:v>434.9</c:v>
                </c:pt>
                <c:pt idx="18">
                  <c:v>457.7</c:v>
                </c:pt>
                <c:pt idx="19">
                  <c:v>479.55</c:v>
                </c:pt>
                <c:pt idx="20">
                  <c:v>500.45</c:v>
                </c:pt>
                <c:pt idx="21">
                  <c:v>520.25</c:v>
                </c:pt>
                <c:pt idx="22">
                  <c:v>539.04999999999995</c:v>
                </c:pt>
                <c:pt idx="23">
                  <c:v>556.70000000000005</c:v>
                </c:pt>
                <c:pt idx="24">
                  <c:v>573.15</c:v>
                </c:pt>
                <c:pt idx="25">
                  <c:v>588.45000000000005</c:v>
                </c:pt>
                <c:pt idx="26">
                  <c:v>602.5</c:v>
                </c:pt>
                <c:pt idx="27">
                  <c:v>615.35</c:v>
                </c:pt>
                <c:pt idx="28">
                  <c:v>626.9</c:v>
                </c:pt>
                <c:pt idx="29">
                  <c:v>637.1</c:v>
                </c:pt>
                <c:pt idx="30">
                  <c:v>646.04999999999995</c:v>
                </c:pt>
                <c:pt idx="31">
                  <c:v>653.6</c:v>
                </c:pt>
                <c:pt idx="32">
                  <c:v>659.8</c:v>
                </c:pt>
                <c:pt idx="33">
                  <c:v>664.65</c:v>
                </c:pt>
                <c:pt idx="34">
                  <c:v>668.15</c:v>
                </c:pt>
                <c:pt idx="35">
                  <c:v>670.25</c:v>
                </c:pt>
                <c:pt idx="36">
                  <c:v>670.9</c:v>
                </c:pt>
                <c:pt idx="37">
                  <c:v>1340.5</c:v>
                </c:pt>
                <c:pt idx="38">
                  <c:v>1336.3</c:v>
                </c:pt>
                <c:pt idx="39">
                  <c:v>1329.3</c:v>
                </c:pt>
                <c:pt idx="40">
                  <c:v>1319.7</c:v>
                </c:pt>
                <c:pt idx="41">
                  <c:v>1307.2</c:v>
                </c:pt>
                <c:pt idx="42">
                  <c:v>1292.0999999999999</c:v>
                </c:pt>
                <c:pt idx="43">
                  <c:v>1274.3</c:v>
                </c:pt>
                <c:pt idx="44">
                  <c:v>1253.8</c:v>
                </c:pt>
                <c:pt idx="45">
                  <c:v>1230.7</c:v>
                </c:pt>
                <c:pt idx="46">
                  <c:v>1205.0999999999999</c:v>
                </c:pt>
                <c:pt idx="47">
                  <c:v>1176.9000000000001</c:v>
                </c:pt>
                <c:pt idx="48">
                  <c:v>1146.4000000000001</c:v>
                </c:pt>
                <c:pt idx="49">
                  <c:v>1113.4000000000001</c:v>
                </c:pt>
                <c:pt idx="50">
                  <c:v>1078.0999999999999</c:v>
                </c:pt>
                <c:pt idx="51">
                  <c:v>1040.5999999999999</c:v>
                </c:pt>
                <c:pt idx="52">
                  <c:v>1000.9</c:v>
                </c:pt>
                <c:pt idx="53">
                  <c:v>959.1</c:v>
                </c:pt>
                <c:pt idx="54">
                  <c:v>915.4</c:v>
                </c:pt>
                <c:pt idx="55">
                  <c:v>869.8</c:v>
                </c:pt>
                <c:pt idx="56">
                  <c:v>822.4</c:v>
                </c:pt>
                <c:pt idx="57">
                  <c:v>773.4</c:v>
                </c:pt>
                <c:pt idx="58">
                  <c:v>722.8</c:v>
                </c:pt>
                <c:pt idx="59">
                  <c:v>670.8</c:v>
                </c:pt>
                <c:pt idx="60">
                  <c:v>617.5</c:v>
                </c:pt>
                <c:pt idx="61">
                  <c:v>563.20000000000005</c:v>
                </c:pt>
                <c:pt idx="62">
                  <c:v>507.9</c:v>
                </c:pt>
                <c:pt idx="63">
                  <c:v>452</c:v>
                </c:pt>
                <c:pt idx="64">
                  <c:v>395.5</c:v>
                </c:pt>
                <c:pt idx="65">
                  <c:v>339</c:v>
                </c:pt>
                <c:pt idx="66">
                  <c:v>282.7</c:v>
                </c:pt>
                <c:pt idx="67">
                  <c:v>227.1</c:v>
                </c:pt>
                <c:pt idx="68">
                  <c:v>173.2</c:v>
                </c:pt>
                <c:pt idx="69">
                  <c:v>121.9</c:v>
                </c:pt>
                <c:pt idx="70">
                  <c:v>75.099999999999994</c:v>
                </c:pt>
                <c:pt idx="71">
                  <c:v>36</c:v>
                </c:pt>
                <c:pt idx="72">
                  <c:v>9.8000000000000007</c:v>
                </c:pt>
                <c:pt idx="73">
                  <c:v>5.88</c:v>
                </c:pt>
                <c:pt idx="74">
                  <c:v>21.599999999999998</c:v>
                </c:pt>
                <c:pt idx="75">
                  <c:v>45.059999999999995</c:v>
                </c:pt>
                <c:pt idx="76">
                  <c:v>73.08</c:v>
                </c:pt>
                <c:pt idx="77">
                  <c:v>103.86</c:v>
                </c:pt>
                <c:pt idx="78">
                  <c:v>136.26</c:v>
                </c:pt>
                <c:pt idx="79">
                  <c:v>169.56</c:v>
                </c:pt>
                <c:pt idx="80">
                  <c:v>203.33999999999997</c:v>
                </c:pt>
                <c:pt idx="81">
                  <c:v>237.29999999999998</c:v>
                </c:pt>
                <c:pt idx="82">
                  <c:v>271.14</c:v>
                </c:pt>
                <c:pt idx="83">
                  <c:v>304.73999999999995</c:v>
                </c:pt>
                <c:pt idx="84">
                  <c:v>337.86</c:v>
                </c:pt>
                <c:pt idx="85">
                  <c:v>370.5</c:v>
                </c:pt>
                <c:pt idx="86">
                  <c:v>402.42</c:v>
                </c:pt>
                <c:pt idx="87">
                  <c:v>433.62</c:v>
                </c:pt>
                <c:pt idx="88">
                  <c:v>463.97999999999996</c:v>
                </c:pt>
                <c:pt idx="89">
                  <c:v>493.43999999999994</c:v>
                </c:pt>
                <c:pt idx="90">
                  <c:v>521.88</c:v>
                </c:pt>
                <c:pt idx="91">
                  <c:v>549.24</c:v>
                </c:pt>
                <c:pt idx="92">
                  <c:v>575.46</c:v>
                </c:pt>
                <c:pt idx="93">
                  <c:v>600.54</c:v>
                </c:pt>
                <c:pt idx="94">
                  <c:v>624.29999999999995</c:v>
                </c:pt>
                <c:pt idx="95">
                  <c:v>646.8599999999999</c:v>
                </c:pt>
                <c:pt idx="96">
                  <c:v>668.04000000000008</c:v>
                </c:pt>
                <c:pt idx="97">
                  <c:v>687.78</c:v>
                </c:pt>
                <c:pt idx="98">
                  <c:v>706.14</c:v>
                </c:pt>
                <c:pt idx="99">
                  <c:v>723</c:v>
                </c:pt>
                <c:pt idx="100">
                  <c:v>738.42</c:v>
                </c:pt>
                <c:pt idx="101">
                  <c:v>752.28</c:v>
                </c:pt>
                <c:pt idx="102">
                  <c:v>764.52</c:v>
                </c:pt>
                <c:pt idx="103">
                  <c:v>775.25999999999988</c:v>
                </c:pt>
                <c:pt idx="104">
                  <c:v>784.32</c:v>
                </c:pt>
                <c:pt idx="105">
                  <c:v>791.75999999999988</c:v>
                </c:pt>
                <c:pt idx="106">
                  <c:v>797.57999999999993</c:v>
                </c:pt>
                <c:pt idx="107">
                  <c:v>801.78</c:v>
                </c:pt>
                <c:pt idx="108">
                  <c:v>804.3</c:v>
                </c:pt>
                <c:pt idx="109">
                  <c:v>805.07999999999993</c:v>
                </c:pt>
                <c:pt idx="110">
                  <c:v>804.3</c:v>
                </c:pt>
                <c:pt idx="111">
                  <c:v>801.78</c:v>
                </c:pt>
                <c:pt idx="112">
                  <c:v>797.57999999999993</c:v>
                </c:pt>
                <c:pt idx="113">
                  <c:v>791.82</c:v>
                </c:pt>
                <c:pt idx="114">
                  <c:v>784.32</c:v>
                </c:pt>
                <c:pt idx="115">
                  <c:v>775.25999999999988</c:v>
                </c:pt>
                <c:pt idx="116">
                  <c:v>764.57999999999993</c:v>
                </c:pt>
                <c:pt idx="117">
                  <c:v>752.28</c:v>
                </c:pt>
                <c:pt idx="118">
                  <c:v>738.42</c:v>
                </c:pt>
                <c:pt idx="119">
                  <c:v>723.06</c:v>
                </c:pt>
                <c:pt idx="120">
                  <c:v>706.14</c:v>
                </c:pt>
                <c:pt idx="121">
                  <c:v>687.84</c:v>
                </c:pt>
                <c:pt idx="122">
                  <c:v>668.04000000000008</c:v>
                </c:pt>
                <c:pt idx="123">
                  <c:v>646.8599999999999</c:v>
                </c:pt>
                <c:pt idx="124">
                  <c:v>624.3599999999999</c:v>
                </c:pt>
                <c:pt idx="125">
                  <c:v>600.54</c:v>
                </c:pt>
                <c:pt idx="126">
                  <c:v>575.46</c:v>
                </c:pt>
                <c:pt idx="127">
                  <c:v>549.24</c:v>
                </c:pt>
                <c:pt idx="128">
                  <c:v>521.88</c:v>
                </c:pt>
                <c:pt idx="129">
                  <c:v>493.43999999999994</c:v>
                </c:pt>
                <c:pt idx="130">
                  <c:v>464.03999999999996</c:v>
                </c:pt>
                <c:pt idx="131">
                  <c:v>433.67999999999995</c:v>
                </c:pt>
                <c:pt idx="132">
                  <c:v>402.47999999999996</c:v>
                </c:pt>
                <c:pt idx="133">
                  <c:v>370.5</c:v>
                </c:pt>
                <c:pt idx="134">
                  <c:v>337.92</c:v>
                </c:pt>
                <c:pt idx="135">
                  <c:v>304.73999999999995</c:v>
                </c:pt>
                <c:pt idx="136">
                  <c:v>271.2</c:v>
                </c:pt>
                <c:pt idx="137">
                  <c:v>237.29999999999998</c:v>
                </c:pt>
                <c:pt idx="138">
                  <c:v>203.4</c:v>
                </c:pt>
                <c:pt idx="139">
                  <c:v>169.61999999999998</c:v>
                </c:pt>
                <c:pt idx="140">
                  <c:v>136.26</c:v>
                </c:pt>
                <c:pt idx="141">
                  <c:v>103.91999999999999</c:v>
                </c:pt>
                <c:pt idx="142">
                  <c:v>73.14</c:v>
                </c:pt>
                <c:pt idx="143">
                  <c:v>45.059999999999995</c:v>
                </c:pt>
                <c:pt idx="144">
                  <c:v>21.599999999999998</c:v>
                </c:pt>
                <c:pt idx="145">
                  <c:v>5.88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34A7-4512-BBFC-A7C2D79E422F}"/>
            </c:ext>
          </c:extLst>
        </c:ser>
        <c:ser>
          <c:idx val="4"/>
          <c:order val="4"/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Main_Day1_2!$B$6:$B$157</c:f>
              <c:numCache>
                <c:formatCode>yyyy/m/d\ h:mm;@</c:formatCode>
                <c:ptCount val="152"/>
                <c:pt idx="0">
                  <c:v>43751.25</c:v>
                </c:pt>
                <c:pt idx="1">
                  <c:v>43751.256944444445</c:v>
                </c:pt>
                <c:pt idx="2">
                  <c:v>43751.263888888891</c:v>
                </c:pt>
                <c:pt idx="3">
                  <c:v>43751.270833333336</c:v>
                </c:pt>
                <c:pt idx="4">
                  <c:v>43751.277777777781</c:v>
                </c:pt>
                <c:pt idx="5">
                  <c:v>43751.284722222219</c:v>
                </c:pt>
                <c:pt idx="6">
                  <c:v>43751.291666666664</c:v>
                </c:pt>
                <c:pt idx="7">
                  <c:v>43751.298611111109</c:v>
                </c:pt>
                <c:pt idx="8">
                  <c:v>43751.305555555555</c:v>
                </c:pt>
                <c:pt idx="9">
                  <c:v>43751.3125</c:v>
                </c:pt>
                <c:pt idx="10">
                  <c:v>43751.319444444445</c:v>
                </c:pt>
                <c:pt idx="11">
                  <c:v>43751.326388888891</c:v>
                </c:pt>
                <c:pt idx="12">
                  <c:v>43751.333333333336</c:v>
                </c:pt>
                <c:pt idx="13">
                  <c:v>43751.340277777781</c:v>
                </c:pt>
                <c:pt idx="14">
                  <c:v>43751.347222222219</c:v>
                </c:pt>
                <c:pt idx="15">
                  <c:v>43751.354166666664</c:v>
                </c:pt>
                <c:pt idx="16">
                  <c:v>43751.361111111109</c:v>
                </c:pt>
                <c:pt idx="17">
                  <c:v>43751.368055555555</c:v>
                </c:pt>
                <c:pt idx="18">
                  <c:v>43751.375</c:v>
                </c:pt>
                <c:pt idx="19">
                  <c:v>43751.381944444445</c:v>
                </c:pt>
                <c:pt idx="20">
                  <c:v>43751.388888888891</c:v>
                </c:pt>
                <c:pt idx="21">
                  <c:v>43751.395833333336</c:v>
                </c:pt>
                <c:pt idx="22">
                  <c:v>43751.402777777781</c:v>
                </c:pt>
                <c:pt idx="23">
                  <c:v>43751.409722222219</c:v>
                </c:pt>
                <c:pt idx="24">
                  <c:v>43751.416666666664</c:v>
                </c:pt>
                <c:pt idx="25">
                  <c:v>43751.423611111109</c:v>
                </c:pt>
                <c:pt idx="26">
                  <c:v>43751.430555555555</c:v>
                </c:pt>
                <c:pt idx="27">
                  <c:v>43751.4375</c:v>
                </c:pt>
                <c:pt idx="28">
                  <c:v>43751.444444444445</c:v>
                </c:pt>
                <c:pt idx="29">
                  <c:v>43751.451388888891</c:v>
                </c:pt>
                <c:pt idx="30">
                  <c:v>43751.458333333336</c:v>
                </c:pt>
                <c:pt idx="31">
                  <c:v>43751.465277777781</c:v>
                </c:pt>
                <c:pt idx="32">
                  <c:v>43751.472222222219</c:v>
                </c:pt>
                <c:pt idx="33">
                  <c:v>43751.479166666664</c:v>
                </c:pt>
                <c:pt idx="34">
                  <c:v>43751.486111111109</c:v>
                </c:pt>
                <c:pt idx="35">
                  <c:v>43751.493055555555</c:v>
                </c:pt>
                <c:pt idx="36">
                  <c:v>43751.5</c:v>
                </c:pt>
                <c:pt idx="37">
                  <c:v>43751.506944444445</c:v>
                </c:pt>
                <c:pt idx="38">
                  <c:v>43751.513888888891</c:v>
                </c:pt>
                <c:pt idx="39">
                  <c:v>43751.520833333336</c:v>
                </c:pt>
                <c:pt idx="40">
                  <c:v>43751.527777777781</c:v>
                </c:pt>
                <c:pt idx="41">
                  <c:v>43751.534722222219</c:v>
                </c:pt>
                <c:pt idx="42">
                  <c:v>43751.541666666664</c:v>
                </c:pt>
                <c:pt idx="43">
                  <c:v>43751.548611111109</c:v>
                </c:pt>
                <c:pt idx="44">
                  <c:v>43751.555555555555</c:v>
                </c:pt>
                <c:pt idx="45">
                  <c:v>43751.5625</c:v>
                </c:pt>
                <c:pt idx="46">
                  <c:v>43751.569444444445</c:v>
                </c:pt>
                <c:pt idx="47">
                  <c:v>43751.576388888891</c:v>
                </c:pt>
                <c:pt idx="48">
                  <c:v>43751.583333333336</c:v>
                </c:pt>
                <c:pt idx="49">
                  <c:v>43751.590277777781</c:v>
                </c:pt>
                <c:pt idx="50">
                  <c:v>43751.597222222219</c:v>
                </c:pt>
                <c:pt idx="51">
                  <c:v>43751.604166666664</c:v>
                </c:pt>
                <c:pt idx="52">
                  <c:v>43751.611111111109</c:v>
                </c:pt>
                <c:pt idx="53">
                  <c:v>43751.618055555555</c:v>
                </c:pt>
                <c:pt idx="54">
                  <c:v>43751.625</c:v>
                </c:pt>
                <c:pt idx="55">
                  <c:v>43751.631944444445</c:v>
                </c:pt>
                <c:pt idx="56">
                  <c:v>43751.638888888891</c:v>
                </c:pt>
                <c:pt idx="57">
                  <c:v>43751.645833333336</c:v>
                </c:pt>
                <c:pt idx="58">
                  <c:v>43751.652777777781</c:v>
                </c:pt>
                <c:pt idx="59">
                  <c:v>43751.659722222219</c:v>
                </c:pt>
                <c:pt idx="60">
                  <c:v>43751.666666666664</c:v>
                </c:pt>
                <c:pt idx="61">
                  <c:v>43751.673611111109</c:v>
                </c:pt>
                <c:pt idx="62">
                  <c:v>43751.680555555555</c:v>
                </c:pt>
                <c:pt idx="63">
                  <c:v>43751.6875</c:v>
                </c:pt>
                <c:pt idx="64">
                  <c:v>43751.694444444445</c:v>
                </c:pt>
                <c:pt idx="65">
                  <c:v>43751.701388888891</c:v>
                </c:pt>
                <c:pt idx="66">
                  <c:v>43751.708333333336</c:v>
                </c:pt>
                <c:pt idx="67">
                  <c:v>43751.715277777781</c:v>
                </c:pt>
                <c:pt idx="68">
                  <c:v>43751.722222222219</c:v>
                </c:pt>
                <c:pt idx="69">
                  <c:v>43751.729166666664</c:v>
                </c:pt>
                <c:pt idx="70">
                  <c:v>43751.736111111109</c:v>
                </c:pt>
                <c:pt idx="71">
                  <c:v>43751.743055555555</c:v>
                </c:pt>
                <c:pt idx="72">
                  <c:v>43751.75</c:v>
                </c:pt>
                <c:pt idx="73" formatCode="m/d/yyyy\ h:mm">
                  <c:v>43752.25</c:v>
                </c:pt>
                <c:pt idx="74" formatCode="m/d/yyyy\ h:mm">
                  <c:v>43752.256944444445</c:v>
                </c:pt>
                <c:pt idx="75" formatCode="m/d/yyyy\ h:mm">
                  <c:v>43752.263888888891</c:v>
                </c:pt>
                <c:pt idx="76" formatCode="m/d/yyyy\ h:mm">
                  <c:v>43752.270833333336</c:v>
                </c:pt>
                <c:pt idx="77" formatCode="m/d/yyyy\ h:mm">
                  <c:v>43752.277777777781</c:v>
                </c:pt>
                <c:pt idx="78" formatCode="m/d/yyyy\ h:mm">
                  <c:v>43752.284722222219</c:v>
                </c:pt>
                <c:pt idx="79" formatCode="m/d/yyyy\ h:mm">
                  <c:v>43752.291666666664</c:v>
                </c:pt>
                <c:pt idx="80" formatCode="m/d/yyyy\ h:mm">
                  <c:v>43752.298611111109</c:v>
                </c:pt>
                <c:pt idx="81" formatCode="m/d/yyyy\ h:mm">
                  <c:v>43752.305555555555</c:v>
                </c:pt>
                <c:pt idx="82" formatCode="m/d/yyyy\ h:mm">
                  <c:v>43752.3125</c:v>
                </c:pt>
                <c:pt idx="83" formatCode="m/d/yyyy\ h:mm">
                  <c:v>43752.319444444445</c:v>
                </c:pt>
                <c:pt idx="84" formatCode="m/d/yyyy\ h:mm">
                  <c:v>43752.326388888891</c:v>
                </c:pt>
                <c:pt idx="85" formatCode="m/d/yyyy\ h:mm">
                  <c:v>43752.333333333336</c:v>
                </c:pt>
                <c:pt idx="86" formatCode="m/d/yyyy\ h:mm">
                  <c:v>43752.340277777781</c:v>
                </c:pt>
                <c:pt idx="87" formatCode="m/d/yyyy\ h:mm">
                  <c:v>43752.347222222219</c:v>
                </c:pt>
                <c:pt idx="88" formatCode="m/d/yyyy\ h:mm">
                  <c:v>43752.354166666664</c:v>
                </c:pt>
                <c:pt idx="89" formatCode="m/d/yyyy\ h:mm">
                  <c:v>43752.361111111109</c:v>
                </c:pt>
                <c:pt idx="90" formatCode="m/d/yyyy\ h:mm">
                  <c:v>43752.368055555555</c:v>
                </c:pt>
                <c:pt idx="91" formatCode="m/d/yyyy\ h:mm">
                  <c:v>43752.375</c:v>
                </c:pt>
                <c:pt idx="92" formatCode="m/d/yyyy\ h:mm">
                  <c:v>43752.381944444445</c:v>
                </c:pt>
                <c:pt idx="93" formatCode="m/d/yyyy\ h:mm">
                  <c:v>43752.388888888891</c:v>
                </c:pt>
                <c:pt idx="94" formatCode="m/d/yyyy\ h:mm">
                  <c:v>43752.395833333336</c:v>
                </c:pt>
                <c:pt idx="95" formatCode="m/d/yyyy\ h:mm">
                  <c:v>43752.402777777781</c:v>
                </c:pt>
                <c:pt idx="96" formatCode="m/d/yyyy\ h:mm">
                  <c:v>43752.409722222219</c:v>
                </c:pt>
                <c:pt idx="97" formatCode="m/d/yyyy\ h:mm">
                  <c:v>43752.416666666664</c:v>
                </c:pt>
                <c:pt idx="98" formatCode="m/d/yyyy\ h:mm">
                  <c:v>43752.423611111109</c:v>
                </c:pt>
                <c:pt idx="99" formatCode="m/d/yyyy\ h:mm">
                  <c:v>43752.430555555555</c:v>
                </c:pt>
                <c:pt idx="100" formatCode="m/d/yyyy\ h:mm">
                  <c:v>43752.4375</c:v>
                </c:pt>
                <c:pt idx="101" formatCode="m/d/yyyy\ h:mm">
                  <c:v>43752.444444444445</c:v>
                </c:pt>
                <c:pt idx="102" formatCode="m/d/yyyy\ h:mm">
                  <c:v>43752.451388888891</c:v>
                </c:pt>
                <c:pt idx="103" formatCode="m/d/yyyy\ h:mm">
                  <c:v>43752.458333333336</c:v>
                </c:pt>
                <c:pt idx="104" formatCode="m/d/yyyy\ h:mm">
                  <c:v>43752.465277777781</c:v>
                </c:pt>
                <c:pt idx="105" formatCode="m/d/yyyy\ h:mm">
                  <c:v>43752.472222222219</c:v>
                </c:pt>
                <c:pt idx="106" formatCode="m/d/yyyy\ h:mm">
                  <c:v>43752.479166666664</c:v>
                </c:pt>
                <c:pt idx="107" formatCode="m/d/yyyy\ h:mm">
                  <c:v>43752.486111111109</c:v>
                </c:pt>
                <c:pt idx="108" formatCode="m/d/yyyy\ h:mm">
                  <c:v>43752.493055555555</c:v>
                </c:pt>
                <c:pt idx="109" formatCode="m/d/yyyy\ h:mm">
                  <c:v>43752.5</c:v>
                </c:pt>
                <c:pt idx="110" formatCode="m/d/yyyy\ h:mm">
                  <c:v>43752.506944444445</c:v>
                </c:pt>
                <c:pt idx="111" formatCode="m/d/yyyy\ h:mm">
                  <c:v>43752.513888888891</c:v>
                </c:pt>
                <c:pt idx="112" formatCode="m/d/yyyy\ h:mm">
                  <c:v>43752.520833333336</c:v>
                </c:pt>
                <c:pt idx="113" formatCode="m/d/yyyy\ h:mm">
                  <c:v>43752.527777777781</c:v>
                </c:pt>
                <c:pt idx="114" formatCode="m/d/yyyy\ h:mm">
                  <c:v>43752.534722222219</c:v>
                </c:pt>
                <c:pt idx="115" formatCode="m/d/yyyy\ h:mm">
                  <c:v>43752.541666666664</c:v>
                </c:pt>
                <c:pt idx="116" formatCode="m/d/yyyy\ h:mm">
                  <c:v>43752.548611111109</c:v>
                </c:pt>
                <c:pt idx="117" formatCode="m/d/yyyy\ h:mm">
                  <c:v>43752.555555555555</c:v>
                </c:pt>
                <c:pt idx="118" formatCode="m/d/yyyy\ h:mm">
                  <c:v>43752.5625</c:v>
                </c:pt>
                <c:pt idx="119" formatCode="m/d/yyyy\ h:mm">
                  <c:v>43752.569444444445</c:v>
                </c:pt>
                <c:pt idx="120" formatCode="m/d/yyyy\ h:mm">
                  <c:v>43752.576388888891</c:v>
                </c:pt>
                <c:pt idx="121" formatCode="m/d/yyyy\ h:mm">
                  <c:v>43752.583333333336</c:v>
                </c:pt>
                <c:pt idx="122" formatCode="m/d/yyyy\ h:mm">
                  <c:v>43752.590277777781</c:v>
                </c:pt>
                <c:pt idx="123" formatCode="m/d/yyyy\ h:mm">
                  <c:v>43752.597222222219</c:v>
                </c:pt>
                <c:pt idx="124" formatCode="m/d/yyyy\ h:mm">
                  <c:v>43752.604166666664</c:v>
                </c:pt>
                <c:pt idx="125" formatCode="m/d/yyyy\ h:mm">
                  <c:v>43752.611111111109</c:v>
                </c:pt>
                <c:pt idx="126" formatCode="m/d/yyyy\ h:mm">
                  <c:v>43752.618055555555</c:v>
                </c:pt>
                <c:pt idx="127" formatCode="m/d/yyyy\ h:mm">
                  <c:v>43752.625</c:v>
                </c:pt>
                <c:pt idx="128" formatCode="m/d/yyyy\ h:mm">
                  <c:v>43752.631944444445</c:v>
                </c:pt>
                <c:pt idx="129" formatCode="m/d/yyyy\ h:mm">
                  <c:v>43752.638888888891</c:v>
                </c:pt>
                <c:pt idx="130" formatCode="m/d/yyyy\ h:mm">
                  <c:v>43752.645833333336</c:v>
                </c:pt>
                <c:pt idx="131" formatCode="m/d/yyyy\ h:mm">
                  <c:v>43752.652777777781</c:v>
                </c:pt>
                <c:pt idx="132" formatCode="m/d/yyyy\ h:mm">
                  <c:v>43752.659722222219</c:v>
                </c:pt>
                <c:pt idx="133" formatCode="m/d/yyyy\ h:mm">
                  <c:v>43752.666666666664</c:v>
                </c:pt>
                <c:pt idx="134" formatCode="m/d/yyyy\ h:mm">
                  <c:v>43752.673611111109</c:v>
                </c:pt>
                <c:pt idx="135" formatCode="m/d/yyyy\ h:mm">
                  <c:v>43752.680555555555</c:v>
                </c:pt>
                <c:pt idx="136" formatCode="m/d/yyyy\ h:mm">
                  <c:v>43752.6875</c:v>
                </c:pt>
                <c:pt idx="137" formatCode="m/d/yyyy\ h:mm">
                  <c:v>43752.694444444445</c:v>
                </c:pt>
                <c:pt idx="138" formatCode="m/d/yyyy\ h:mm">
                  <c:v>43752.701388888891</c:v>
                </c:pt>
                <c:pt idx="139" formatCode="m/d/yyyy\ h:mm">
                  <c:v>43752.708333333336</c:v>
                </c:pt>
                <c:pt idx="140" formatCode="m/d/yyyy\ h:mm">
                  <c:v>43752.715277777781</c:v>
                </c:pt>
                <c:pt idx="141" formatCode="m/d/yyyy\ h:mm">
                  <c:v>43752.722222222219</c:v>
                </c:pt>
                <c:pt idx="142" formatCode="m/d/yyyy\ h:mm">
                  <c:v>43752.729166666664</c:v>
                </c:pt>
                <c:pt idx="143" formatCode="m/d/yyyy\ h:mm">
                  <c:v>43752.736111111109</c:v>
                </c:pt>
                <c:pt idx="144" formatCode="m/d/yyyy\ h:mm">
                  <c:v>43752.743055555555</c:v>
                </c:pt>
                <c:pt idx="145" formatCode="m/d/yyyy\ h:mm">
                  <c:v>43752.75</c:v>
                </c:pt>
                <c:pt idx="146" formatCode="m/d/yyyy\ h:mm">
                  <c:v>43752.756944444445</c:v>
                </c:pt>
                <c:pt idx="147" formatCode="m/d/yyyy\ h:mm">
                  <c:v>43752.763888888891</c:v>
                </c:pt>
                <c:pt idx="148" formatCode="m/d/yyyy\ h:mm">
                  <c:v>43752.770833333336</c:v>
                </c:pt>
                <c:pt idx="149" formatCode="m/d/yyyy\ h:mm">
                  <c:v>43752.777777777781</c:v>
                </c:pt>
                <c:pt idx="150" formatCode="m/d/yyyy\ h:mm">
                  <c:v>43752.784722222219</c:v>
                </c:pt>
                <c:pt idx="151" formatCode="m/d/yyyy\ h:mm">
                  <c:v>43752.791666666664</c:v>
                </c:pt>
              </c:numCache>
            </c:numRef>
          </c:xVal>
          <c:yVal>
            <c:numRef>
              <c:f>Main_Day1_2!$G$6:$G$157</c:f>
              <c:numCache>
                <c:formatCode>General</c:formatCode>
                <c:ptCount val="15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-705.01312277163879</c:v>
                </c:pt>
                <c:pt idx="13">
                  <c:v>-705.01312277163879</c:v>
                </c:pt>
                <c:pt idx="14">
                  <c:v>-705.01312277163879</c:v>
                </c:pt>
                <c:pt idx="15">
                  <c:v>-705.01312277163879</c:v>
                </c:pt>
                <c:pt idx="16">
                  <c:v>-705.01312277163879</c:v>
                </c:pt>
                <c:pt idx="17">
                  <c:v>-705.01312277163879</c:v>
                </c:pt>
                <c:pt idx="18">
                  <c:v>-705.01312277163879</c:v>
                </c:pt>
                <c:pt idx="19">
                  <c:v>-705.01312277163879</c:v>
                </c:pt>
                <c:pt idx="20">
                  <c:v>-705.01312277163879</c:v>
                </c:pt>
                <c:pt idx="21">
                  <c:v>-705.01312277163879</c:v>
                </c:pt>
                <c:pt idx="22">
                  <c:v>-705.01312277163879</c:v>
                </c:pt>
                <c:pt idx="23">
                  <c:v>-705.01312277163879</c:v>
                </c:pt>
                <c:pt idx="24">
                  <c:v>-705.01312277163879</c:v>
                </c:pt>
                <c:pt idx="25">
                  <c:v>-705.01312277163879</c:v>
                </c:pt>
                <c:pt idx="26">
                  <c:v>-705.01312277163879</c:v>
                </c:pt>
                <c:pt idx="27">
                  <c:v>-705.01312277163879</c:v>
                </c:pt>
                <c:pt idx="28">
                  <c:v>-705.01312277163879</c:v>
                </c:pt>
                <c:pt idx="29">
                  <c:v>-705.01312277163879</c:v>
                </c:pt>
                <c:pt idx="30">
                  <c:v>-705.01312277163879</c:v>
                </c:pt>
                <c:pt idx="31">
                  <c:v>-705.01312277163879</c:v>
                </c:pt>
                <c:pt idx="32">
                  <c:v>-705.01312277163879</c:v>
                </c:pt>
                <c:pt idx="33">
                  <c:v>-705.01312277163879</c:v>
                </c:pt>
                <c:pt idx="34">
                  <c:v>-705.01312277163879</c:v>
                </c:pt>
                <c:pt idx="35">
                  <c:v>-705.01312277163879</c:v>
                </c:pt>
                <c:pt idx="36">
                  <c:v>-705.01312277163879</c:v>
                </c:pt>
                <c:pt idx="37">
                  <c:v>-523.6009579884186</c:v>
                </c:pt>
                <c:pt idx="38">
                  <c:v>-523.6009579884186</c:v>
                </c:pt>
                <c:pt idx="39">
                  <c:v>-523.6009579884186</c:v>
                </c:pt>
                <c:pt idx="40">
                  <c:v>-523.6009579884186</c:v>
                </c:pt>
                <c:pt idx="41">
                  <c:v>-523.6009579884186</c:v>
                </c:pt>
                <c:pt idx="42">
                  <c:v>-523.6009579884186</c:v>
                </c:pt>
                <c:pt idx="43">
                  <c:v>-523.6009579884186</c:v>
                </c:pt>
                <c:pt idx="44">
                  <c:v>-523.6009579884186</c:v>
                </c:pt>
                <c:pt idx="45">
                  <c:v>-523.6009579884186</c:v>
                </c:pt>
                <c:pt idx="46">
                  <c:v>-523.6009579884186</c:v>
                </c:pt>
                <c:pt idx="47">
                  <c:v>-523.6009579884186</c:v>
                </c:pt>
                <c:pt idx="48">
                  <c:v>-523.6009579884186</c:v>
                </c:pt>
                <c:pt idx="49">
                  <c:v>-523.6009579884186</c:v>
                </c:pt>
                <c:pt idx="50">
                  <c:v>-523.6009579884186</c:v>
                </c:pt>
                <c:pt idx="51">
                  <c:v>-523.6009579884186</c:v>
                </c:pt>
                <c:pt idx="52">
                  <c:v>-523.6009579884186</c:v>
                </c:pt>
                <c:pt idx="53">
                  <c:v>-523.6009579884186</c:v>
                </c:pt>
                <c:pt idx="54">
                  <c:v>-523.6009579884186</c:v>
                </c:pt>
                <c:pt idx="55">
                  <c:v>-523.6009579884186</c:v>
                </c:pt>
                <c:pt idx="56">
                  <c:v>-523.6009579884186</c:v>
                </c:pt>
                <c:pt idx="57">
                  <c:v>-523.6009579884186</c:v>
                </c:pt>
                <c:pt idx="58">
                  <c:v>-523.6009579884186</c:v>
                </c:pt>
                <c:pt idx="59">
                  <c:v>-523.6009579884186</c:v>
                </c:pt>
                <c:pt idx="60">
                  <c:v>-523.6009579884186</c:v>
                </c:pt>
                <c:pt idx="61">
                  <c:v>-523.6009579884186</c:v>
                </c:pt>
                <c:pt idx="62">
                  <c:v>-523.6009579884186</c:v>
                </c:pt>
                <c:pt idx="63">
                  <c:v>-523.6009579884186</c:v>
                </c:pt>
                <c:pt idx="64">
                  <c:v>-523.6009579884186</c:v>
                </c:pt>
                <c:pt idx="65">
                  <c:v>-523.6009579884186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-523.6009579884186</c:v>
                </c:pt>
                <c:pt idx="86">
                  <c:v>-523.6009579884186</c:v>
                </c:pt>
                <c:pt idx="87">
                  <c:v>-523.6009579884186</c:v>
                </c:pt>
                <c:pt idx="88">
                  <c:v>-523.6009579884186</c:v>
                </c:pt>
                <c:pt idx="89">
                  <c:v>-523.6009579884186</c:v>
                </c:pt>
                <c:pt idx="90">
                  <c:v>-523.6009579884186</c:v>
                </c:pt>
                <c:pt idx="91">
                  <c:v>-523.6009579884186</c:v>
                </c:pt>
                <c:pt idx="92">
                  <c:v>-523.6009579884186</c:v>
                </c:pt>
                <c:pt idx="93">
                  <c:v>-523.6009579884186</c:v>
                </c:pt>
                <c:pt idx="94">
                  <c:v>-523.6009579884186</c:v>
                </c:pt>
                <c:pt idx="95">
                  <c:v>-523.6009579884186</c:v>
                </c:pt>
                <c:pt idx="96">
                  <c:v>-523.6009579884186</c:v>
                </c:pt>
                <c:pt idx="97">
                  <c:v>-523.6009579884186</c:v>
                </c:pt>
                <c:pt idx="98">
                  <c:v>-523.6009579884186</c:v>
                </c:pt>
                <c:pt idx="99">
                  <c:v>-811.6256291049707</c:v>
                </c:pt>
                <c:pt idx="100">
                  <c:v>-811.6256291049707</c:v>
                </c:pt>
                <c:pt idx="101">
                  <c:v>-811.6256291049707</c:v>
                </c:pt>
                <c:pt idx="102">
                  <c:v>-811.6256291049707</c:v>
                </c:pt>
                <c:pt idx="103">
                  <c:v>-811.6256291049707</c:v>
                </c:pt>
                <c:pt idx="104">
                  <c:v>-811.6256291049707</c:v>
                </c:pt>
                <c:pt idx="105">
                  <c:v>-811.6256291049707</c:v>
                </c:pt>
                <c:pt idx="106">
                  <c:v>-811.6256291049707</c:v>
                </c:pt>
                <c:pt idx="107">
                  <c:v>-811.6256291049707</c:v>
                </c:pt>
                <c:pt idx="108">
                  <c:v>-811.6256291049707</c:v>
                </c:pt>
                <c:pt idx="109">
                  <c:v>-811.6256291049707</c:v>
                </c:pt>
                <c:pt idx="110">
                  <c:v>-811.6256291049707</c:v>
                </c:pt>
                <c:pt idx="111">
                  <c:v>-811.6256291049707</c:v>
                </c:pt>
                <c:pt idx="112">
                  <c:v>-811.6256291049707</c:v>
                </c:pt>
                <c:pt idx="113">
                  <c:v>-811.6256291049707</c:v>
                </c:pt>
                <c:pt idx="114">
                  <c:v>-811.6256291049707</c:v>
                </c:pt>
                <c:pt idx="115">
                  <c:v>-811.6256291049707</c:v>
                </c:pt>
                <c:pt idx="116">
                  <c:v>-811.6256291049707</c:v>
                </c:pt>
                <c:pt idx="117">
                  <c:v>-811.6256291049707</c:v>
                </c:pt>
                <c:pt idx="118">
                  <c:v>-811.6256291049707</c:v>
                </c:pt>
                <c:pt idx="119">
                  <c:v>-811.6256291049707</c:v>
                </c:pt>
                <c:pt idx="120">
                  <c:v>-811.6256291049707</c:v>
                </c:pt>
                <c:pt idx="121">
                  <c:v>-811.6256291049707</c:v>
                </c:pt>
                <c:pt idx="122">
                  <c:v>-811.6256291049707</c:v>
                </c:pt>
                <c:pt idx="123">
                  <c:v>-811.6256291049707</c:v>
                </c:pt>
                <c:pt idx="124">
                  <c:v>-811.6256291049707</c:v>
                </c:pt>
                <c:pt idx="125">
                  <c:v>-811.6256291049707</c:v>
                </c:pt>
                <c:pt idx="126">
                  <c:v>-811.6256291049707</c:v>
                </c:pt>
                <c:pt idx="127">
                  <c:v>-811.6256291049707</c:v>
                </c:pt>
                <c:pt idx="128">
                  <c:v>-811.6256291049707</c:v>
                </c:pt>
                <c:pt idx="129">
                  <c:v>-811.6256291049707</c:v>
                </c:pt>
                <c:pt idx="130">
                  <c:v>-811.6256291049707</c:v>
                </c:pt>
                <c:pt idx="131">
                  <c:v>-811.6256291049707</c:v>
                </c:pt>
                <c:pt idx="132">
                  <c:v>-811.6256291049707</c:v>
                </c:pt>
                <c:pt idx="133">
                  <c:v>-811.6256291049707</c:v>
                </c:pt>
                <c:pt idx="134">
                  <c:v>-811.6256291049707</c:v>
                </c:pt>
                <c:pt idx="135">
                  <c:v>-811.6256291049707</c:v>
                </c:pt>
                <c:pt idx="136">
                  <c:v>-811.6256291049707</c:v>
                </c:pt>
                <c:pt idx="137">
                  <c:v>-811.6256291049707</c:v>
                </c:pt>
                <c:pt idx="138">
                  <c:v>-811.6256291049707</c:v>
                </c:pt>
                <c:pt idx="139">
                  <c:v>-811.6256291049707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34A7-4512-BBFC-A7C2D79E422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58240912"/>
        <c:axId val="558241232"/>
      </c:scatterChart>
      <c:valAx>
        <c:axId val="5582409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yyyy/m/d\ h: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58241232"/>
        <c:crosses val="autoZero"/>
        <c:crossBetween val="midCat"/>
      </c:valAx>
      <c:valAx>
        <c:axId val="5582412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5824091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Main_Day1_2!$K$6:$K$157</c:f>
              <c:numCache>
                <c:formatCode>yyyy/m/d\ h:mm;@</c:formatCode>
                <c:ptCount val="152"/>
                <c:pt idx="0">
                  <c:v>43751.25</c:v>
                </c:pt>
                <c:pt idx="1">
                  <c:v>43751.256944444445</c:v>
                </c:pt>
                <c:pt idx="2">
                  <c:v>43751.263888888891</c:v>
                </c:pt>
                <c:pt idx="3">
                  <c:v>43751.270833333336</c:v>
                </c:pt>
                <c:pt idx="4">
                  <c:v>43751.277777777781</c:v>
                </c:pt>
                <c:pt idx="5">
                  <c:v>43751.284722222219</c:v>
                </c:pt>
                <c:pt idx="6">
                  <c:v>43751.291666666664</c:v>
                </c:pt>
                <c:pt idx="7">
                  <c:v>43751.298611111109</c:v>
                </c:pt>
                <c:pt idx="8">
                  <c:v>43751.305555555555</c:v>
                </c:pt>
                <c:pt idx="9">
                  <c:v>43751.3125</c:v>
                </c:pt>
                <c:pt idx="10">
                  <c:v>43751.319444444445</c:v>
                </c:pt>
                <c:pt idx="11">
                  <c:v>43751.326388888891</c:v>
                </c:pt>
                <c:pt idx="12">
                  <c:v>43751.333333333336</c:v>
                </c:pt>
                <c:pt idx="13">
                  <c:v>43751.340277777781</c:v>
                </c:pt>
                <c:pt idx="14">
                  <c:v>43751.347222222219</c:v>
                </c:pt>
                <c:pt idx="15">
                  <c:v>43751.354166666664</c:v>
                </c:pt>
                <c:pt idx="16">
                  <c:v>43751.361111111109</c:v>
                </c:pt>
                <c:pt idx="17">
                  <c:v>43751.368055555555</c:v>
                </c:pt>
                <c:pt idx="18">
                  <c:v>43751.375</c:v>
                </c:pt>
                <c:pt idx="19">
                  <c:v>43751.381944444445</c:v>
                </c:pt>
                <c:pt idx="20">
                  <c:v>43751.388888888891</c:v>
                </c:pt>
                <c:pt idx="21">
                  <c:v>43751.395833333336</c:v>
                </c:pt>
                <c:pt idx="22">
                  <c:v>43751.402777777781</c:v>
                </c:pt>
                <c:pt idx="23">
                  <c:v>43751.409722222219</c:v>
                </c:pt>
                <c:pt idx="24">
                  <c:v>43751.416666666664</c:v>
                </c:pt>
                <c:pt idx="25">
                  <c:v>43751.423611111109</c:v>
                </c:pt>
                <c:pt idx="26">
                  <c:v>43751.430555555555</c:v>
                </c:pt>
                <c:pt idx="27">
                  <c:v>43751.4375</c:v>
                </c:pt>
                <c:pt idx="28">
                  <c:v>43751.444444444445</c:v>
                </c:pt>
                <c:pt idx="29">
                  <c:v>43751.451388888891</c:v>
                </c:pt>
                <c:pt idx="30">
                  <c:v>43751.458333333336</c:v>
                </c:pt>
                <c:pt idx="31">
                  <c:v>43751.465277777781</c:v>
                </c:pt>
                <c:pt idx="32">
                  <c:v>43751.472222222219</c:v>
                </c:pt>
                <c:pt idx="33">
                  <c:v>43751.479166666664</c:v>
                </c:pt>
                <c:pt idx="34">
                  <c:v>43751.486111111109</c:v>
                </c:pt>
                <c:pt idx="35">
                  <c:v>43751.493055555555</c:v>
                </c:pt>
                <c:pt idx="36">
                  <c:v>43751.5</c:v>
                </c:pt>
                <c:pt idx="37">
                  <c:v>43751.506944444445</c:v>
                </c:pt>
                <c:pt idx="38">
                  <c:v>43751.513888888891</c:v>
                </c:pt>
                <c:pt idx="39">
                  <c:v>43751.520833333336</c:v>
                </c:pt>
                <c:pt idx="40">
                  <c:v>43751.527777777781</c:v>
                </c:pt>
                <c:pt idx="41">
                  <c:v>43751.534722222219</c:v>
                </c:pt>
                <c:pt idx="42">
                  <c:v>43751.541666666664</c:v>
                </c:pt>
                <c:pt idx="43">
                  <c:v>43751.548611111109</c:v>
                </c:pt>
                <c:pt idx="44">
                  <c:v>43751.555555555555</c:v>
                </c:pt>
                <c:pt idx="45">
                  <c:v>43751.5625</c:v>
                </c:pt>
                <c:pt idx="46">
                  <c:v>43751.569444444445</c:v>
                </c:pt>
                <c:pt idx="47">
                  <c:v>43751.576388888891</c:v>
                </c:pt>
                <c:pt idx="48">
                  <c:v>43751.583333333336</c:v>
                </c:pt>
                <c:pt idx="49">
                  <c:v>43751.590277777781</c:v>
                </c:pt>
                <c:pt idx="50">
                  <c:v>43751.597222222219</c:v>
                </c:pt>
                <c:pt idx="51">
                  <c:v>43751.604166666664</c:v>
                </c:pt>
                <c:pt idx="52">
                  <c:v>43751.611111111109</c:v>
                </c:pt>
                <c:pt idx="53">
                  <c:v>43751.618055555555</c:v>
                </c:pt>
                <c:pt idx="54">
                  <c:v>43751.625</c:v>
                </c:pt>
                <c:pt idx="55">
                  <c:v>43751.631944444445</c:v>
                </c:pt>
                <c:pt idx="56">
                  <c:v>43751.638888888891</c:v>
                </c:pt>
                <c:pt idx="57">
                  <c:v>43751.645833333336</c:v>
                </c:pt>
                <c:pt idx="58">
                  <c:v>43751.652777777781</c:v>
                </c:pt>
                <c:pt idx="59">
                  <c:v>43751.659722222219</c:v>
                </c:pt>
                <c:pt idx="60">
                  <c:v>43751.666666666664</c:v>
                </c:pt>
                <c:pt idx="61">
                  <c:v>43751.673611111109</c:v>
                </c:pt>
                <c:pt idx="62">
                  <c:v>43751.680555555555</c:v>
                </c:pt>
                <c:pt idx="63">
                  <c:v>43751.6875</c:v>
                </c:pt>
                <c:pt idx="64">
                  <c:v>43751.694444444445</c:v>
                </c:pt>
                <c:pt idx="65">
                  <c:v>43751.701388888891</c:v>
                </c:pt>
                <c:pt idx="66">
                  <c:v>43751.708333333336</c:v>
                </c:pt>
                <c:pt idx="67">
                  <c:v>43751.715277777781</c:v>
                </c:pt>
                <c:pt idx="68">
                  <c:v>43751.722222222219</c:v>
                </c:pt>
                <c:pt idx="69">
                  <c:v>43751.729166666664</c:v>
                </c:pt>
                <c:pt idx="70">
                  <c:v>43751.736111111109</c:v>
                </c:pt>
                <c:pt idx="71">
                  <c:v>43751.743055555555</c:v>
                </c:pt>
                <c:pt idx="72">
                  <c:v>43751.75</c:v>
                </c:pt>
                <c:pt idx="73" formatCode="m/d/yyyy\ h:mm">
                  <c:v>43752.25</c:v>
                </c:pt>
                <c:pt idx="74" formatCode="m/d/yyyy\ h:mm">
                  <c:v>43752.256944444445</c:v>
                </c:pt>
                <c:pt idx="75" formatCode="m/d/yyyy\ h:mm">
                  <c:v>43752.263888888891</c:v>
                </c:pt>
                <c:pt idx="76" formatCode="m/d/yyyy\ h:mm">
                  <c:v>43752.270833333336</c:v>
                </c:pt>
                <c:pt idx="77" formatCode="m/d/yyyy\ h:mm">
                  <c:v>43752.277777777781</c:v>
                </c:pt>
                <c:pt idx="78" formatCode="m/d/yyyy\ h:mm">
                  <c:v>43752.284722222219</c:v>
                </c:pt>
                <c:pt idx="79" formatCode="m/d/yyyy\ h:mm">
                  <c:v>43752.291666666664</c:v>
                </c:pt>
                <c:pt idx="80" formatCode="m/d/yyyy\ h:mm">
                  <c:v>43752.298611111109</c:v>
                </c:pt>
                <c:pt idx="81" formatCode="m/d/yyyy\ h:mm">
                  <c:v>43752.305555555555</c:v>
                </c:pt>
                <c:pt idx="82" formatCode="m/d/yyyy\ h:mm">
                  <c:v>43752.3125</c:v>
                </c:pt>
                <c:pt idx="83" formatCode="m/d/yyyy\ h:mm">
                  <c:v>43752.319444444445</c:v>
                </c:pt>
                <c:pt idx="84" formatCode="m/d/yyyy\ h:mm">
                  <c:v>43752.326388888891</c:v>
                </c:pt>
                <c:pt idx="85" formatCode="m/d/yyyy\ h:mm">
                  <c:v>43752.333333333336</c:v>
                </c:pt>
                <c:pt idx="86" formatCode="m/d/yyyy\ h:mm">
                  <c:v>43752.340277777781</c:v>
                </c:pt>
                <c:pt idx="87" formatCode="m/d/yyyy\ h:mm">
                  <c:v>43752.347222222219</c:v>
                </c:pt>
                <c:pt idx="88" formatCode="m/d/yyyy\ h:mm">
                  <c:v>43752.354166666664</c:v>
                </c:pt>
                <c:pt idx="89" formatCode="m/d/yyyy\ h:mm">
                  <c:v>43752.361111111109</c:v>
                </c:pt>
                <c:pt idx="90" formatCode="m/d/yyyy\ h:mm">
                  <c:v>43752.368055555555</c:v>
                </c:pt>
                <c:pt idx="91" formatCode="m/d/yyyy\ h:mm">
                  <c:v>43752.375</c:v>
                </c:pt>
                <c:pt idx="92" formatCode="m/d/yyyy\ h:mm">
                  <c:v>43752.381944444445</c:v>
                </c:pt>
                <c:pt idx="93" formatCode="m/d/yyyy\ h:mm">
                  <c:v>43752.388888888891</c:v>
                </c:pt>
                <c:pt idx="94" formatCode="m/d/yyyy\ h:mm">
                  <c:v>43752.395833333336</c:v>
                </c:pt>
                <c:pt idx="95" formatCode="m/d/yyyy\ h:mm">
                  <c:v>43752.402777777781</c:v>
                </c:pt>
                <c:pt idx="96" formatCode="m/d/yyyy\ h:mm">
                  <c:v>43752.409722222219</c:v>
                </c:pt>
                <c:pt idx="97" formatCode="m/d/yyyy\ h:mm">
                  <c:v>43752.416666666664</c:v>
                </c:pt>
                <c:pt idx="98" formatCode="m/d/yyyy\ h:mm">
                  <c:v>43752.423611111109</c:v>
                </c:pt>
                <c:pt idx="99" formatCode="m/d/yyyy\ h:mm">
                  <c:v>43752.430555555555</c:v>
                </c:pt>
                <c:pt idx="100" formatCode="m/d/yyyy\ h:mm">
                  <c:v>43752.4375</c:v>
                </c:pt>
                <c:pt idx="101" formatCode="m/d/yyyy\ h:mm">
                  <c:v>43752.444444444445</c:v>
                </c:pt>
                <c:pt idx="102" formatCode="m/d/yyyy\ h:mm">
                  <c:v>43752.451388888891</c:v>
                </c:pt>
                <c:pt idx="103" formatCode="m/d/yyyy\ h:mm">
                  <c:v>43752.458333333336</c:v>
                </c:pt>
                <c:pt idx="104" formatCode="m/d/yyyy\ h:mm">
                  <c:v>43752.465277777781</c:v>
                </c:pt>
                <c:pt idx="105" formatCode="m/d/yyyy\ h:mm">
                  <c:v>43752.472222222219</c:v>
                </c:pt>
                <c:pt idx="106" formatCode="m/d/yyyy\ h:mm">
                  <c:v>43752.479166666664</c:v>
                </c:pt>
                <c:pt idx="107" formatCode="m/d/yyyy\ h:mm">
                  <c:v>43752.486111111109</c:v>
                </c:pt>
                <c:pt idx="108" formatCode="m/d/yyyy\ h:mm">
                  <c:v>43752.493055555555</c:v>
                </c:pt>
                <c:pt idx="109" formatCode="m/d/yyyy\ h:mm">
                  <c:v>43752.5</c:v>
                </c:pt>
                <c:pt idx="110" formatCode="m/d/yyyy\ h:mm">
                  <c:v>43752.506944444445</c:v>
                </c:pt>
                <c:pt idx="111" formatCode="m/d/yyyy\ h:mm">
                  <c:v>43752.513888888891</c:v>
                </c:pt>
                <c:pt idx="112" formatCode="m/d/yyyy\ h:mm">
                  <c:v>43752.520833333336</c:v>
                </c:pt>
                <c:pt idx="113" formatCode="m/d/yyyy\ h:mm">
                  <c:v>43752.527777777781</c:v>
                </c:pt>
                <c:pt idx="114" formatCode="m/d/yyyy\ h:mm">
                  <c:v>43752.534722222219</c:v>
                </c:pt>
                <c:pt idx="115" formatCode="m/d/yyyy\ h:mm">
                  <c:v>43752.541666666664</c:v>
                </c:pt>
                <c:pt idx="116" formatCode="m/d/yyyy\ h:mm">
                  <c:v>43752.548611111109</c:v>
                </c:pt>
                <c:pt idx="117" formatCode="m/d/yyyy\ h:mm">
                  <c:v>43752.555555555555</c:v>
                </c:pt>
                <c:pt idx="118" formatCode="m/d/yyyy\ h:mm">
                  <c:v>43752.5625</c:v>
                </c:pt>
                <c:pt idx="119" formatCode="m/d/yyyy\ h:mm">
                  <c:v>43752.569444444445</c:v>
                </c:pt>
                <c:pt idx="120" formatCode="m/d/yyyy\ h:mm">
                  <c:v>43752.576388888891</c:v>
                </c:pt>
                <c:pt idx="121" formatCode="m/d/yyyy\ h:mm">
                  <c:v>43752.583333333336</c:v>
                </c:pt>
                <c:pt idx="122" formatCode="m/d/yyyy\ h:mm">
                  <c:v>43752.590277777781</c:v>
                </c:pt>
                <c:pt idx="123" formatCode="m/d/yyyy\ h:mm">
                  <c:v>43752.597222222219</c:v>
                </c:pt>
                <c:pt idx="124" formatCode="m/d/yyyy\ h:mm">
                  <c:v>43752.604166666664</c:v>
                </c:pt>
                <c:pt idx="125" formatCode="m/d/yyyy\ h:mm">
                  <c:v>43752.611111111109</c:v>
                </c:pt>
                <c:pt idx="126" formatCode="m/d/yyyy\ h:mm">
                  <c:v>43752.618055555555</c:v>
                </c:pt>
                <c:pt idx="127" formatCode="m/d/yyyy\ h:mm">
                  <c:v>43752.625</c:v>
                </c:pt>
                <c:pt idx="128" formatCode="m/d/yyyy\ h:mm">
                  <c:v>43752.631944444445</c:v>
                </c:pt>
                <c:pt idx="129" formatCode="m/d/yyyy\ h:mm">
                  <c:v>43752.638888888891</c:v>
                </c:pt>
                <c:pt idx="130" formatCode="m/d/yyyy\ h:mm">
                  <c:v>43752.645833333336</c:v>
                </c:pt>
                <c:pt idx="131" formatCode="m/d/yyyy\ h:mm">
                  <c:v>43752.652777777781</c:v>
                </c:pt>
                <c:pt idx="132" formatCode="m/d/yyyy\ h:mm">
                  <c:v>43752.659722222219</c:v>
                </c:pt>
                <c:pt idx="133" formatCode="m/d/yyyy\ h:mm">
                  <c:v>43752.666666666664</c:v>
                </c:pt>
                <c:pt idx="134" formatCode="m/d/yyyy\ h:mm">
                  <c:v>43752.673611111109</c:v>
                </c:pt>
                <c:pt idx="135" formatCode="m/d/yyyy\ h:mm">
                  <c:v>43752.680555555555</c:v>
                </c:pt>
                <c:pt idx="136" formatCode="m/d/yyyy\ h:mm">
                  <c:v>43752.6875</c:v>
                </c:pt>
                <c:pt idx="137" formatCode="m/d/yyyy\ h:mm">
                  <c:v>43752.694444444445</c:v>
                </c:pt>
                <c:pt idx="138" formatCode="m/d/yyyy\ h:mm">
                  <c:v>43752.701388888891</c:v>
                </c:pt>
                <c:pt idx="139" formatCode="m/d/yyyy\ h:mm">
                  <c:v>43752.708333333336</c:v>
                </c:pt>
                <c:pt idx="140" formatCode="m/d/yyyy\ h:mm">
                  <c:v>43752.715277777781</c:v>
                </c:pt>
                <c:pt idx="141" formatCode="m/d/yyyy\ h:mm">
                  <c:v>43752.722222222219</c:v>
                </c:pt>
                <c:pt idx="142" formatCode="m/d/yyyy\ h:mm">
                  <c:v>43752.729166666664</c:v>
                </c:pt>
                <c:pt idx="143" formatCode="m/d/yyyy\ h:mm">
                  <c:v>43752.736111111109</c:v>
                </c:pt>
                <c:pt idx="144" formatCode="m/d/yyyy\ h:mm">
                  <c:v>43752.743055555555</c:v>
                </c:pt>
                <c:pt idx="145" formatCode="m/d/yyyy\ h:mm">
                  <c:v>43752.75</c:v>
                </c:pt>
                <c:pt idx="146" formatCode="m/d/yyyy\ h:mm">
                  <c:v>43752.756944444445</c:v>
                </c:pt>
                <c:pt idx="147" formatCode="m/d/yyyy\ h:mm">
                  <c:v>43752.763888888891</c:v>
                </c:pt>
                <c:pt idx="148" formatCode="m/d/yyyy\ h:mm">
                  <c:v>43752.770833333336</c:v>
                </c:pt>
                <c:pt idx="149" formatCode="m/d/yyyy\ h:mm">
                  <c:v>43752.777777777781</c:v>
                </c:pt>
                <c:pt idx="150" formatCode="m/d/yyyy\ h:mm">
                  <c:v>43752.784722222219</c:v>
                </c:pt>
                <c:pt idx="151" formatCode="m/d/yyyy\ h:mm">
                  <c:v>43752.791666666664</c:v>
                </c:pt>
              </c:numCache>
            </c:numRef>
          </c:xVal>
          <c:yVal>
            <c:numRef>
              <c:f>Main_Day1_2!$L$6:$L$157</c:f>
              <c:numCache>
                <c:formatCode>General</c:formatCode>
                <c:ptCount val="152"/>
                <c:pt idx="0">
                  <c:v>4.9999986388888891</c:v>
                </c:pt>
                <c:pt idx="1">
                  <c:v>4.9999950000000002</c:v>
                </c:pt>
                <c:pt idx="2">
                  <c:v>4.9999895694444438</c:v>
                </c:pt>
                <c:pt idx="3">
                  <c:v>4.9999830833333334</c:v>
                </c:pt>
                <c:pt idx="4">
                  <c:v>4.9999759583333336</c:v>
                </c:pt>
                <c:pt idx="5">
                  <c:v>4.999968458333333</c:v>
                </c:pt>
                <c:pt idx="6">
                  <c:v>4.9999607500000005</c:v>
                </c:pt>
                <c:pt idx="7">
                  <c:v>4.9999529305555566</c:v>
                </c:pt>
                <c:pt idx="8">
                  <c:v>4.9999450694444443</c:v>
                </c:pt>
                <c:pt idx="9">
                  <c:v>4.9999372361111112</c:v>
                </c:pt>
                <c:pt idx="10">
                  <c:v>4.9999294583333338</c:v>
                </c:pt>
                <c:pt idx="11">
                  <c:v>4.9999217916666669</c:v>
                </c:pt>
                <c:pt idx="12">
                  <c:v>5.000110073089659</c:v>
                </c:pt>
                <c:pt idx="13">
                  <c:v>5.0001026842007708</c:v>
                </c:pt>
                <c:pt idx="14">
                  <c:v>5.0000954619785478</c:v>
                </c:pt>
                <c:pt idx="15">
                  <c:v>5.0000884342007703</c:v>
                </c:pt>
                <c:pt idx="16">
                  <c:v>5.0000816147563256</c:v>
                </c:pt>
                <c:pt idx="17">
                  <c:v>5.0000750314229929</c:v>
                </c:pt>
                <c:pt idx="18">
                  <c:v>5.0000686980896587</c:v>
                </c:pt>
                <c:pt idx="19">
                  <c:v>5.0000626286452139</c:v>
                </c:pt>
                <c:pt idx="20">
                  <c:v>5.0000568230896585</c:v>
                </c:pt>
                <c:pt idx="21">
                  <c:v>5.0000513230896582</c:v>
                </c:pt>
                <c:pt idx="22">
                  <c:v>5.0000461008674364</c:v>
                </c:pt>
                <c:pt idx="23">
                  <c:v>5.0000411980896589</c:v>
                </c:pt>
                <c:pt idx="24">
                  <c:v>5.0000366286452147</c:v>
                </c:pt>
                <c:pt idx="25">
                  <c:v>5.0000323786452148</c:v>
                </c:pt>
                <c:pt idx="26">
                  <c:v>5.0000284758674365</c:v>
                </c:pt>
                <c:pt idx="27">
                  <c:v>5.0000249064229925</c:v>
                </c:pt>
                <c:pt idx="28">
                  <c:v>5.0000216980896592</c:v>
                </c:pt>
                <c:pt idx="29">
                  <c:v>5.0000188647563251</c:v>
                </c:pt>
                <c:pt idx="30">
                  <c:v>5.0000163786452143</c:v>
                </c:pt>
                <c:pt idx="31">
                  <c:v>5.0000142814229918</c:v>
                </c:pt>
                <c:pt idx="32">
                  <c:v>5.00001255920077</c:v>
                </c:pt>
                <c:pt idx="33">
                  <c:v>5.0000112119785483</c:v>
                </c:pt>
                <c:pt idx="34">
                  <c:v>5.0000102397563264</c:v>
                </c:pt>
                <c:pt idx="35">
                  <c:v>5.0000096564229919</c:v>
                </c:pt>
                <c:pt idx="36">
                  <c:v>5.0000094758674365</c:v>
                </c:pt>
                <c:pt idx="37">
                  <c:v>4.9997730835994414</c:v>
                </c:pt>
                <c:pt idx="38">
                  <c:v>4.9997742502661078</c:v>
                </c:pt>
                <c:pt idx="39">
                  <c:v>4.9997761947105523</c:v>
                </c:pt>
                <c:pt idx="40">
                  <c:v>4.9997788613772185</c:v>
                </c:pt>
                <c:pt idx="41">
                  <c:v>4.9997823335994411</c:v>
                </c:pt>
                <c:pt idx="42">
                  <c:v>4.9997865280438853</c:v>
                </c:pt>
                <c:pt idx="43">
                  <c:v>4.9997914724883303</c:v>
                </c:pt>
                <c:pt idx="44">
                  <c:v>4.9997971669327743</c:v>
                </c:pt>
                <c:pt idx="45">
                  <c:v>4.9998035835994408</c:v>
                </c:pt>
                <c:pt idx="46">
                  <c:v>4.9998106947105523</c:v>
                </c:pt>
                <c:pt idx="47">
                  <c:v>4.9998185280438854</c:v>
                </c:pt>
                <c:pt idx="48">
                  <c:v>4.9998270002661078</c:v>
                </c:pt>
                <c:pt idx="49">
                  <c:v>4.9998361669327744</c:v>
                </c:pt>
                <c:pt idx="50">
                  <c:v>4.9998459724883295</c:v>
                </c:pt>
                <c:pt idx="51">
                  <c:v>4.9998563891549965</c:v>
                </c:pt>
                <c:pt idx="52">
                  <c:v>4.9998674169327746</c:v>
                </c:pt>
                <c:pt idx="53">
                  <c:v>4.9998790280438854</c:v>
                </c:pt>
                <c:pt idx="54">
                  <c:v>4.9998911669327741</c:v>
                </c:pt>
                <c:pt idx="55">
                  <c:v>4.9999038335994408</c:v>
                </c:pt>
                <c:pt idx="56">
                  <c:v>4.999917000266108</c:v>
                </c:pt>
                <c:pt idx="57">
                  <c:v>4.9999306113772191</c:v>
                </c:pt>
                <c:pt idx="58">
                  <c:v>4.9999446669327741</c:v>
                </c:pt>
                <c:pt idx="59">
                  <c:v>4.999959111377219</c:v>
                </c:pt>
                <c:pt idx="60">
                  <c:v>4.9999739169327748</c:v>
                </c:pt>
                <c:pt idx="61">
                  <c:v>4.9999890002661074</c:v>
                </c:pt>
                <c:pt idx="62">
                  <c:v>5.0000043613772185</c:v>
                </c:pt>
                <c:pt idx="63">
                  <c:v>5.0000198891549967</c:v>
                </c:pt>
                <c:pt idx="64">
                  <c:v>5.0000355835994412</c:v>
                </c:pt>
                <c:pt idx="65">
                  <c:v>5.0000512780438857</c:v>
                </c:pt>
                <c:pt idx="66">
                  <c:v>4.9999214722222227</c:v>
                </c:pt>
                <c:pt idx="67">
                  <c:v>4.999936916666667</c:v>
                </c:pt>
                <c:pt idx="68">
                  <c:v>4.999951888888889</c:v>
                </c:pt>
                <c:pt idx="69">
                  <c:v>4.9999661388888885</c:v>
                </c:pt>
                <c:pt idx="70">
                  <c:v>4.9999791388888886</c:v>
                </c:pt>
                <c:pt idx="71">
                  <c:v>4.9999899999999995</c:v>
                </c:pt>
                <c:pt idx="72">
                  <c:v>4.9999972777777772</c:v>
                </c:pt>
                <c:pt idx="73">
                  <c:v>4.9999956444444447</c:v>
                </c:pt>
                <c:pt idx="74">
                  <c:v>4.9999896444444438</c:v>
                </c:pt>
                <c:pt idx="75">
                  <c:v>4.999977127777778</c:v>
                </c:pt>
                <c:pt idx="76">
                  <c:v>4.9999568277777771</c:v>
                </c:pt>
                <c:pt idx="77">
                  <c:v>4.9999279777777774</c:v>
                </c:pt>
                <c:pt idx="78">
                  <c:v>4.9998901277777774</c:v>
                </c:pt>
                <c:pt idx="79">
                  <c:v>4.9998430277777768</c:v>
                </c:pt>
                <c:pt idx="80">
                  <c:v>4.9997865444444445</c:v>
                </c:pt>
                <c:pt idx="81">
                  <c:v>4.9997206277777773</c:v>
                </c:pt>
                <c:pt idx="82">
                  <c:v>4.9996453111111112</c:v>
                </c:pt>
                <c:pt idx="83">
                  <c:v>4.9995606611111105</c:v>
                </c:pt>
                <c:pt idx="84">
                  <c:v>4.9994668111111116</c:v>
                </c:pt>
                <c:pt idx="85">
                  <c:v>4.9995093391549972</c:v>
                </c:pt>
                <c:pt idx="86">
                  <c:v>4.9995430005322161</c:v>
                </c:pt>
                <c:pt idx="87">
                  <c:v>4.9995679952427681</c:v>
                </c:pt>
                <c:pt idx="88">
                  <c:v>4.999584556619987</c:v>
                </c:pt>
                <c:pt idx="89">
                  <c:v>4.9995929346638723</c:v>
                </c:pt>
                <c:pt idx="90">
                  <c:v>4.9995934127077577</c:v>
                </c:pt>
                <c:pt idx="91">
                  <c:v>4.999586290751644</c:v>
                </c:pt>
                <c:pt idx="92">
                  <c:v>4.9995718854621964</c:v>
                </c:pt>
                <c:pt idx="93">
                  <c:v>4.9995505135060814</c:v>
                </c:pt>
                <c:pt idx="94">
                  <c:v>4.9995225415499673</c:v>
                </c:pt>
                <c:pt idx="95">
                  <c:v>4.9994883029271868</c:v>
                </c:pt>
                <c:pt idx="96">
                  <c:v>4.999448180971072</c:v>
                </c:pt>
                <c:pt idx="97">
                  <c:v>4.9994025756816249</c:v>
                </c:pt>
                <c:pt idx="98">
                  <c:v>4.9993518703921769</c:v>
                </c:pt>
                <c:pt idx="99">
                  <c:v>4.9993764886224836</c:v>
                </c:pt>
                <c:pt idx="100">
                  <c:v>4.9993968235194579</c:v>
                </c:pt>
                <c:pt idx="101">
                  <c:v>4.9994133084164316</c:v>
                </c:pt>
                <c:pt idx="102">
                  <c:v>4.9994263933134055</c:v>
                </c:pt>
                <c:pt idx="103">
                  <c:v>4.9994364948770444</c:v>
                </c:pt>
                <c:pt idx="104">
                  <c:v>4.9994440797740189</c:v>
                </c:pt>
                <c:pt idx="105">
                  <c:v>4.9994495980043254</c:v>
                </c:pt>
                <c:pt idx="106">
                  <c:v>4.9994534995679656</c:v>
                </c:pt>
                <c:pt idx="107">
                  <c:v>4.9994562344649394</c:v>
                </c:pt>
                <c:pt idx="108">
                  <c:v>4.9994582693619121</c:v>
                </c:pt>
                <c:pt idx="109">
                  <c:v>4.9994600875922197</c:v>
                </c:pt>
                <c:pt idx="110">
                  <c:v>4.9994621224891933</c:v>
                </c:pt>
                <c:pt idx="111">
                  <c:v>4.999464857386168</c:v>
                </c:pt>
                <c:pt idx="112">
                  <c:v>4.9994687589498072</c:v>
                </c:pt>
                <c:pt idx="113">
                  <c:v>4.9994742605134466</c:v>
                </c:pt>
                <c:pt idx="114">
                  <c:v>4.999481845410422</c:v>
                </c:pt>
                <c:pt idx="115">
                  <c:v>4.9994919469740617</c:v>
                </c:pt>
                <c:pt idx="116">
                  <c:v>4.9995050152043685</c:v>
                </c:pt>
                <c:pt idx="117">
                  <c:v>4.9995215001013422</c:v>
                </c:pt>
                <c:pt idx="118">
                  <c:v>4.9995418349983156</c:v>
                </c:pt>
                <c:pt idx="119">
                  <c:v>4.9995664365619561</c:v>
                </c:pt>
                <c:pt idx="120">
                  <c:v>4.9995957381255964</c:v>
                </c:pt>
                <c:pt idx="121">
                  <c:v>4.9996301230225697</c:v>
                </c:pt>
                <c:pt idx="122">
                  <c:v>4.9996700079195442</c:v>
                </c:pt>
                <c:pt idx="123">
                  <c:v>4.9997157761498503</c:v>
                </c:pt>
                <c:pt idx="124">
                  <c:v>4.9997677943801575</c:v>
                </c:pt>
                <c:pt idx="125">
                  <c:v>4.9998264292771308</c:v>
                </c:pt>
                <c:pt idx="126">
                  <c:v>4.9998920308407717</c:v>
                </c:pt>
                <c:pt idx="127">
                  <c:v>4.9999649157377446</c:v>
                </c:pt>
                <c:pt idx="128">
                  <c:v>5.0000454006347184</c:v>
                </c:pt>
                <c:pt idx="129">
                  <c:v>5.0001337855316912</c:v>
                </c:pt>
                <c:pt idx="130">
                  <c:v>5.0002303370953323</c:v>
                </c:pt>
                <c:pt idx="131">
                  <c:v>5.0003353219923055</c:v>
                </c:pt>
                <c:pt idx="132">
                  <c:v>5.0004489735559456</c:v>
                </c:pt>
                <c:pt idx="133">
                  <c:v>5.0005715084529205</c:v>
                </c:pt>
                <c:pt idx="134">
                  <c:v>5.0007030933498937</c:v>
                </c:pt>
                <c:pt idx="135">
                  <c:v>5.0008438949135341</c:v>
                </c:pt>
                <c:pt idx="136">
                  <c:v>5.0009940131438411</c:v>
                </c:pt>
                <c:pt idx="137">
                  <c:v>5.0011535480408149</c:v>
                </c:pt>
                <c:pt idx="138">
                  <c:v>5.0013224996044547</c:v>
                </c:pt>
                <c:pt idx="139">
                  <c:v>5.0015008345014289</c:v>
                </c:pt>
                <c:pt idx="140">
                  <c:v>5.001462984501428</c:v>
                </c:pt>
                <c:pt idx="141">
                  <c:v>5.0014341178347612</c:v>
                </c:pt>
                <c:pt idx="142">
                  <c:v>5.001413801168094</c:v>
                </c:pt>
                <c:pt idx="143">
                  <c:v>5.0014012845014282</c:v>
                </c:pt>
                <c:pt idx="144">
                  <c:v>5.0013952845014282</c:v>
                </c:pt>
                <c:pt idx="145">
                  <c:v>5.0013936511680948</c:v>
                </c:pt>
                <c:pt idx="146">
                  <c:v>5.0013936511680948</c:v>
                </c:pt>
                <c:pt idx="147">
                  <c:v>5.0013936511680948</c:v>
                </c:pt>
                <c:pt idx="148">
                  <c:v>5.0013936511680948</c:v>
                </c:pt>
                <c:pt idx="149">
                  <c:v>5.0013936511680948</c:v>
                </c:pt>
                <c:pt idx="150">
                  <c:v>5.0013936511680948</c:v>
                </c:pt>
                <c:pt idx="151">
                  <c:v>5.0013936511680948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F4E-403A-B884-058922D21538}"/>
            </c:ext>
          </c:extLst>
        </c:ser>
        <c:ser>
          <c:idx val="1"/>
          <c:order val="1"/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Main_Day1_2!$K$6:$K$157</c:f>
              <c:numCache>
                <c:formatCode>yyyy/m/d\ h:mm;@</c:formatCode>
                <c:ptCount val="152"/>
                <c:pt idx="0">
                  <c:v>43751.25</c:v>
                </c:pt>
                <c:pt idx="1">
                  <c:v>43751.256944444445</c:v>
                </c:pt>
                <c:pt idx="2">
                  <c:v>43751.263888888891</c:v>
                </c:pt>
                <c:pt idx="3">
                  <c:v>43751.270833333336</c:v>
                </c:pt>
                <c:pt idx="4">
                  <c:v>43751.277777777781</c:v>
                </c:pt>
                <c:pt idx="5">
                  <c:v>43751.284722222219</c:v>
                </c:pt>
                <c:pt idx="6">
                  <c:v>43751.291666666664</c:v>
                </c:pt>
                <c:pt idx="7">
                  <c:v>43751.298611111109</c:v>
                </c:pt>
                <c:pt idx="8">
                  <c:v>43751.305555555555</c:v>
                </c:pt>
                <c:pt idx="9">
                  <c:v>43751.3125</c:v>
                </c:pt>
                <c:pt idx="10">
                  <c:v>43751.319444444445</c:v>
                </c:pt>
                <c:pt idx="11">
                  <c:v>43751.326388888891</c:v>
                </c:pt>
                <c:pt idx="12">
                  <c:v>43751.333333333336</c:v>
                </c:pt>
                <c:pt idx="13">
                  <c:v>43751.340277777781</c:v>
                </c:pt>
                <c:pt idx="14">
                  <c:v>43751.347222222219</c:v>
                </c:pt>
                <c:pt idx="15">
                  <c:v>43751.354166666664</c:v>
                </c:pt>
                <c:pt idx="16">
                  <c:v>43751.361111111109</c:v>
                </c:pt>
                <c:pt idx="17">
                  <c:v>43751.368055555555</c:v>
                </c:pt>
                <c:pt idx="18">
                  <c:v>43751.375</c:v>
                </c:pt>
                <c:pt idx="19">
                  <c:v>43751.381944444445</c:v>
                </c:pt>
                <c:pt idx="20">
                  <c:v>43751.388888888891</c:v>
                </c:pt>
                <c:pt idx="21">
                  <c:v>43751.395833333336</c:v>
                </c:pt>
                <c:pt idx="22">
                  <c:v>43751.402777777781</c:v>
                </c:pt>
                <c:pt idx="23">
                  <c:v>43751.409722222219</c:v>
                </c:pt>
                <c:pt idx="24">
                  <c:v>43751.416666666664</c:v>
                </c:pt>
                <c:pt idx="25">
                  <c:v>43751.423611111109</c:v>
                </c:pt>
                <c:pt idx="26">
                  <c:v>43751.430555555555</c:v>
                </c:pt>
                <c:pt idx="27">
                  <c:v>43751.4375</c:v>
                </c:pt>
                <c:pt idx="28">
                  <c:v>43751.444444444445</c:v>
                </c:pt>
                <c:pt idx="29">
                  <c:v>43751.451388888891</c:v>
                </c:pt>
                <c:pt idx="30">
                  <c:v>43751.458333333336</c:v>
                </c:pt>
                <c:pt idx="31">
                  <c:v>43751.465277777781</c:v>
                </c:pt>
                <c:pt idx="32">
                  <c:v>43751.472222222219</c:v>
                </c:pt>
                <c:pt idx="33">
                  <c:v>43751.479166666664</c:v>
                </c:pt>
                <c:pt idx="34">
                  <c:v>43751.486111111109</c:v>
                </c:pt>
                <c:pt idx="35">
                  <c:v>43751.493055555555</c:v>
                </c:pt>
                <c:pt idx="36">
                  <c:v>43751.5</c:v>
                </c:pt>
                <c:pt idx="37">
                  <c:v>43751.506944444445</c:v>
                </c:pt>
                <c:pt idx="38">
                  <c:v>43751.513888888891</c:v>
                </c:pt>
                <c:pt idx="39">
                  <c:v>43751.520833333336</c:v>
                </c:pt>
                <c:pt idx="40">
                  <c:v>43751.527777777781</c:v>
                </c:pt>
                <c:pt idx="41">
                  <c:v>43751.534722222219</c:v>
                </c:pt>
                <c:pt idx="42">
                  <c:v>43751.541666666664</c:v>
                </c:pt>
                <c:pt idx="43">
                  <c:v>43751.548611111109</c:v>
                </c:pt>
                <c:pt idx="44">
                  <c:v>43751.555555555555</c:v>
                </c:pt>
                <c:pt idx="45">
                  <c:v>43751.5625</c:v>
                </c:pt>
                <c:pt idx="46">
                  <c:v>43751.569444444445</c:v>
                </c:pt>
                <c:pt idx="47">
                  <c:v>43751.576388888891</c:v>
                </c:pt>
                <c:pt idx="48">
                  <c:v>43751.583333333336</c:v>
                </c:pt>
                <c:pt idx="49">
                  <c:v>43751.590277777781</c:v>
                </c:pt>
                <c:pt idx="50">
                  <c:v>43751.597222222219</c:v>
                </c:pt>
                <c:pt idx="51">
                  <c:v>43751.604166666664</c:v>
                </c:pt>
                <c:pt idx="52">
                  <c:v>43751.611111111109</c:v>
                </c:pt>
                <c:pt idx="53">
                  <c:v>43751.618055555555</c:v>
                </c:pt>
                <c:pt idx="54">
                  <c:v>43751.625</c:v>
                </c:pt>
                <c:pt idx="55">
                  <c:v>43751.631944444445</c:v>
                </c:pt>
                <c:pt idx="56">
                  <c:v>43751.638888888891</c:v>
                </c:pt>
                <c:pt idx="57">
                  <c:v>43751.645833333336</c:v>
                </c:pt>
                <c:pt idx="58">
                  <c:v>43751.652777777781</c:v>
                </c:pt>
                <c:pt idx="59">
                  <c:v>43751.659722222219</c:v>
                </c:pt>
                <c:pt idx="60">
                  <c:v>43751.666666666664</c:v>
                </c:pt>
                <c:pt idx="61">
                  <c:v>43751.673611111109</c:v>
                </c:pt>
                <c:pt idx="62">
                  <c:v>43751.680555555555</c:v>
                </c:pt>
                <c:pt idx="63">
                  <c:v>43751.6875</c:v>
                </c:pt>
                <c:pt idx="64">
                  <c:v>43751.694444444445</c:v>
                </c:pt>
                <c:pt idx="65">
                  <c:v>43751.701388888891</c:v>
                </c:pt>
                <c:pt idx="66">
                  <c:v>43751.708333333336</c:v>
                </c:pt>
                <c:pt idx="67">
                  <c:v>43751.715277777781</c:v>
                </c:pt>
                <c:pt idx="68">
                  <c:v>43751.722222222219</c:v>
                </c:pt>
                <c:pt idx="69">
                  <c:v>43751.729166666664</c:v>
                </c:pt>
                <c:pt idx="70">
                  <c:v>43751.736111111109</c:v>
                </c:pt>
                <c:pt idx="71">
                  <c:v>43751.743055555555</c:v>
                </c:pt>
                <c:pt idx="72">
                  <c:v>43751.75</c:v>
                </c:pt>
                <c:pt idx="73" formatCode="m/d/yyyy\ h:mm">
                  <c:v>43752.25</c:v>
                </c:pt>
                <c:pt idx="74" formatCode="m/d/yyyy\ h:mm">
                  <c:v>43752.256944444445</c:v>
                </c:pt>
                <c:pt idx="75" formatCode="m/d/yyyy\ h:mm">
                  <c:v>43752.263888888891</c:v>
                </c:pt>
                <c:pt idx="76" formatCode="m/d/yyyy\ h:mm">
                  <c:v>43752.270833333336</c:v>
                </c:pt>
                <c:pt idx="77" formatCode="m/d/yyyy\ h:mm">
                  <c:v>43752.277777777781</c:v>
                </c:pt>
                <c:pt idx="78" formatCode="m/d/yyyy\ h:mm">
                  <c:v>43752.284722222219</c:v>
                </c:pt>
                <c:pt idx="79" formatCode="m/d/yyyy\ h:mm">
                  <c:v>43752.291666666664</c:v>
                </c:pt>
                <c:pt idx="80" formatCode="m/d/yyyy\ h:mm">
                  <c:v>43752.298611111109</c:v>
                </c:pt>
                <c:pt idx="81" formatCode="m/d/yyyy\ h:mm">
                  <c:v>43752.305555555555</c:v>
                </c:pt>
                <c:pt idx="82" formatCode="m/d/yyyy\ h:mm">
                  <c:v>43752.3125</c:v>
                </c:pt>
                <c:pt idx="83" formatCode="m/d/yyyy\ h:mm">
                  <c:v>43752.319444444445</c:v>
                </c:pt>
                <c:pt idx="84" formatCode="m/d/yyyy\ h:mm">
                  <c:v>43752.326388888891</c:v>
                </c:pt>
                <c:pt idx="85" formatCode="m/d/yyyy\ h:mm">
                  <c:v>43752.333333333336</c:v>
                </c:pt>
                <c:pt idx="86" formatCode="m/d/yyyy\ h:mm">
                  <c:v>43752.340277777781</c:v>
                </c:pt>
                <c:pt idx="87" formatCode="m/d/yyyy\ h:mm">
                  <c:v>43752.347222222219</c:v>
                </c:pt>
                <c:pt idx="88" formatCode="m/d/yyyy\ h:mm">
                  <c:v>43752.354166666664</c:v>
                </c:pt>
                <c:pt idx="89" formatCode="m/d/yyyy\ h:mm">
                  <c:v>43752.361111111109</c:v>
                </c:pt>
                <c:pt idx="90" formatCode="m/d/yyyy\ h:mm">
                  <c:v>43752.368055555555</c:v>
                </c:pt>
                <c:pt idx="91" formatCode="m/d/yyyy\ h:mm">
                  <c:v>43752.375</c:v>
                </c:pt>
                <c:pt idx="92" formatCode="m/d/yyyy\ h:mm">
                  <c:v>43752.381944444445</c:v>
                </c:pt>
                <c:pt idx="93" formatCode="m/d/yyyy\ h:mm">
                  <c:v>43752.388888888891</c:v>
                </c:pt>
                <c:pt idx="94" formatCode="m/d/yyyy\ h:mm">
                  <c:v>43752.395833333336</c:v>
                </c:pt>
                <c:pt idx="95" formatCode="m/d/yyyy\ h:mm">
                  <c:v>43752.402777777781</c:v>
                </c:pt>
                <c:pt idx="96" formatCode="m/d/yyyy\ h:mm">
                  <c:v>43752.409722222219</c:v>
                </c:pt>
                <c:pt idx="97" formatCode="m/d/yyyy\ h:mm">
                  <c:v>43752.416666666664</c:v>
                </c:pt>
                <c:pt idx="98" formatCode="m/d/yyyy\ h:mm">
                  <c:v>43752.423611111109</c:v>
                </c:pt>
                <c:pt idx="99" formatCode="m/d/yyyy\ h:mm">
                  <c:v>43752.430555555555</c:v>
                </c:pt>
                <c:pt idx="100" formatCode="m/d/yyyy\ h:mm">
                  <c:v>43752.4375</c:v>
                </c:pt>
                <c:pt idx="101" formatCode="m/d/yyyy\ h:mm">
                  <c:v>43752.444444444445</c:v>
                </c:pt>
                <c:pt idx="102" formatCode="m/d/yyyy\ h:mm">
                  <c:v>43752.451388888891</c:v>
                </c:pt>
                <c:pt idx="103" formatCode="m/d/yyyy\ h:mm">
                  <c:v>43752.458333333336</c:v>
                </c:pt>
                <c:pt idx="104" formatCode="m/d/yyyy\ h:mm">
                  <c:v>43752.465277777781</c:v>
                </c:pt>
                <c:pt idx="105" formatCode="m/d/yyyy\ h:mm">
                  <c:v>43752.472222222219</c:v>
                </c:pt>
                <c:pt idx="106" formatCode="m/d/yyyy\ h:mm">
                  <c:v>43752.479166666664</c:v>
                </c:pt>
                <c:pt idx="107" formatCode="m/d/yyyy\ h:mm">
                  <c:v>43752.486111111109</c:v>
                </c:pt>
                <c:pt idx="108" formatCode="m/d/yyyy\ h:mm">
                  <c:v>43752.493055555555</c:v>
                </c:pt>
                <c:pt idx="109" formatCode="m/d/yyyy\ h:mm">
                  <c:v>43752.5</c:v>
                </c:pt>
                <c:pt idx="110" formatCode="m/d/yyyy\ h:mm">
                  <c:v>43752.506944444445</c:v>
                </c:pt>
                <c:pt idx="111" formatCode="m/d/yyyy\ h:mm">
                  <c:v>43752.513888888891</c:v>
                </c:pt>
                <c:pt idx="112" formatCode="m/d/yyyy\ h:mm">
                  <c:v>43752.520833333336</c:v>
                </c:pt>
                <c:pt idx="113" formatCode="m/d/yyyy\ h:mm">
                  <c:v>43752.527777777781</c:v>
                </c:pt>
                <c:pt idx="114" formatCode="m/d/yyyy\ h:mm">
                  <c:v>43752.534722222219</c:v>
                </c:pt>
                <c:pt idx="115" formatCode="m/d/yyyy\ h:mm">
                  <c:v>43752.541666666664</c:v>
                </c:pt>
                <c:pt idx="116" formatCode="m/d/yyyy\ h:mm">
                  <c:v>43752.548611111109</c:v>
                </c:pt>
                <c:pt idx="117" formatCode="m/d/yyyy\ h:mm">
                  <c:v>43752.555555555555</c:v>
                </c:pt>
                <c:pt idx="118" formatCode="m/d/yyyy\ h:mm">
                  <c:v>43752.5625</c:v>
                </c:pt>
                <c:pt idx="119" formatCode="m/d/yyyy\ h:mm">
                  <c:v>43752.569444444445</c:v>
                </c:pt>
                <c:pt idx="120" formatCode="m/d/yyyy\ h:mm">
                  <c:v>43752.576388888891</c:v>
                </c:pt>
                <c:pt idx="121" formatCode="m/d/yyyy\ h:mm">
                  <c:v>43752.583333333336</c:v>
                </c:pt>
                <c:pt idx="122" formatCode="m/d/yyyy\ h:mm">
                  <c:v>43752.590277777781</c:v>
                </c:pt>
                <c:pt idx="123" formatCode="m/d/yyyy\ h:mm">
                  <c:v>43752.597222222219</c:v>
                </c:pt>
                <c:pt idx="124" formatCode="m/d/yyyy\ h:mm">
                  <c:v>43752.604166666664</c:v>
                </c:pt>
                <c:pt idx="125" formatCode="m/d/yyyy\ h:mm">
                  <c:v>43752.611111111109</c:v>
                </c:pt>
                <c:pt idx="126" formatCode="m/d/yyyy\ h:mm">
                  <c:v>43752.618055555555</c:v>
                </c:pt>
                <c:pt idx="127" formatCode="m/d/yyyy\ h:mm">
                  <c:v>43752.625</c:v>
                </c:pt>
                <c:pt idx="128" formatCode="m/d/yyyy\ h:mm">
                  <c:v>43752.631944444445</c:v>
                </c:pt>
                <c:pt idx="129" formatCode="m/d/yyyy\ h:mm">
                  <c:v>43752.638888888891</c:v>
                </c:pt>
                <c:pt idx="130" formatCode="m/d/yyyy\ h:mm">
                  <c:v>43752.645833333336</c:v>
                </c:pt>
                <c:pt idx="131" formatCode="m/d/yyyy\ h:mm">
                  <c:v>43752.652777777781</c:v>
                </c:pt>
                <c:pt idx="132" formatCode="m/d/yyyy\ h:mm">
                  <c:v>43752.659722222219</c:v>
                </c:pt>
                <c:pt idx="133" formatCode="m/d/yyyy\ h:mm">
                  <c:v>43752.666666666664</c:v>
                </c:pt>
                <c:pt idx="134" formatCode="m/d/yyyy\ h:mm">
                  <c:v>43752.673611111109</c:v>
                </c:pt>
                <c:pt idx="135" formatCode="m/d/yyyy\ h:mm">
                  <c:v>43752.680555555555</c:v>
                </c:pt>
                <c:pt idx="136" formatCode="m/d/yyyy\ h:mm">
                  <c:v>43752.6875</c:v>
                </c:pt>
                <c:pt idx="137" formatCode="m/d/yyyy\ h:mm">
                  <c:v>43752.694444444445</c:v>
                </c:pt>
                <c:pt idx="138" formatCode="m/d/yyyy\ h:mm">
                  <c:v>43752.701388888891</c:v>
                </c:pt>
                <c:pt idx="139" formatCode="m/d/yyyy\ h:mm">
                  <c:v>43752.708333333336</c:v>
                </c:pt>
                <c:pt idx="140" formatCode="m/d/yyyy\ h:mm">
                  <c:v>43752.715277777781</c:v>
                </c:pt>
                <c:pt idx="141" formatCode="m/d/yyyy\ h:mm">
                  <c:v>43752.722222222219</c:v>
                </c:pt>
                <c:pt idx="142" formatCode="m/d/yyyy\ h:mm">
                  <c:v>43752.729166666664</c:v>
                </c:pt>
                <c:pt idx="143" formatCode="m/d/yyyy\ h:mm">
                  <c:v>43752.736111111109</c:v>
                </c:pt>
                <c:pt idx="144" formatCode="m/d/yyyy\ h:mm">
                  <c:v>43752.743055555555</c:v>
                </c:pt>
                <c:pt idx="145" formatCode="m/d/yyyy\ h:mm">
                  <c:v>43752.75</c:v>
                </c:pt>
                <c:pt idx="146" formatCode="m/d/yyyy\ h:mm">
                  <c:v>43752.756944444445</c:v>
                </c:pt>
                <c:pt idx="147" formatCode="m/d/yyyy\ h:mm">
                  <c:v>43752.763888888891</c:v>
                </c:pt>
                <c:pt idx="148" formatCode="m/d/yyyy\ h:mm">
                  <c:v>43752.770833333336</c:v>
                </c:pt>
                <c:pt idx="149" formatCode="m/d/yyyy\ h:mm">
                  <c:v>43752.777777777781</c:v>
                </c:pt>
                <c:pt idx="150" formatCode="m/d/yyyy\ h:mm">
                  <c:v>43752.784722222219</c:v>
                </c:pt>
                <c:pt idx="151" formatCode="m/d/yyyy\ h:mm">
                  <c:v>43752.791666666664</c:v>
                </c:pt>
              </c:numCache>
            </c:numRef>
          </c:xVal>
          <c:yVal>
            <c:numRef>
              <c:f>Main_Day1_2!$M$6:$M$157</c:f>
              <c:numCache>
                <c:formatCode>General</c:formatCode>
                <c:ptCount val="152"/>
                <c:pt idx="0">
                  <c:v>4.9000000000000004</c:v>
                </c:pt>
                <c:pt idx="1">
                  <c:v>18</c:v>
                </c:pt>
                <c:pt idx="2">
                  <c:v>37.549999999999997</c:v>
                </c:pt>
                <c:pt idx="3">
                  <c:v>60.9</c:v>
                </c:pt>
                <c:pt idx="4">
                  <c:v>86.55</c:v>
                </c:pt>
                <c:pt idx="5">
                  <c:v>113.55</c:v>
                </c:pt>
                <c:pt idx="6">
                  <c:v>141.30000000000001</c:v>
                </c:pt>
                <c:pt idx="7">
                  <c:v>169.45</c:v>
                </c:pt>
                <c:pt idx="8">
                  <c:v>197.75</c:v>
                </c:pt>
                <c:pt idx="9">
                  <c:v>225.95</c:v>
                </c:pt>
                <c:pt idx="10">
                  <c:v>253.95</c:v>
                </c:pt>
                <c:pt idx="11">
                  <c:v>281.55</c:v>
                </c:pt>
                <c:pt idx="12">
                  <c:v>-396.26312277163879</c:v>
                </c:pt>
                <c:pt idx="13">
                  <c:v>-369.66312277163877</c:v>
                </c:pt>
                <c:pt idx="14">
                  <c:v>-343.66312277163877</c:v>
                </c:pt>
                <c:pt idx="15">
                  <c:v>-318.36312277163881</c:v>
                </c:pt>
                <c:pt idx="16">
                  <c:v>-293.8131227716388</c:v>
                </c:pt>
                <c:pt idx="17">
                  <c:v>-270.11312277163881</c:v>
                </c:pt>
                <c:pt idx="18">
                  <c:v>-247.3131227716388</c:v>
                </c:pt>
                <c:pt idx="19">
                  <c:v>-225.46312277163878</c:v>
                </c:pt>
                <c:pt idx="20">
                  <c:v>-204.5631227716388</c:v>
                </c:pt>
                <c:pt idx="21">
                  <c:v>-184.76312277163879</c:v>
                </c:pt>
                <c:pt idx="22">
                  <c:v>-165.96312277163884</c:v>
                </c:pt>
                <c:pt idx="23">
                  <c:v>-148.31312277163875</c:v>
                </c:pt>
                <c:pt idx="24">
                  <c:v>-131.86312277163881</c:v>
                </c:pt>
                <c:pt idx="25">
                  <c:v>-116.56312277163875</c:v>
                </c:pt>
                <c:pt idx="26">
                  <c:v>-102.51312277163879</c:v>
                </c:pt>
                <c:pt idx="27">
                  <c:v>-89.663122771638768</c:v>
                </c:pt>
                <c:pt idx="28">
                  <c:v>-78.113122771638814</c:v>
                </c:pt>
                <c:pt idx="29">
                  <c:v>-67.913122771638768</c:v>
                </c:pt>
                <c:pt idx="30">
                  <c:v>-58.963122771638837</c:v>
                </c:pt>
                <c:pt idx="31">
                  <c:v>-51.413122771638768</c:v>
                </c:pt>
                <c:pt idx="32">
                  <c:v>-45.213122771638837</c:v>
                </c:pt>
                <c:pt idx="33">
                  <c:v>-40.363122771638814</c:v>
                </c:pt>
                <c:pt idx="34">
                  <c:v>-36.863122771638814</c:v>
                </c:pt>
                <c:pt idx="35">
                  <c:v>-34.763122771638791</c:v>
                </c:pt>
                <c:pt idx="36">
                  <c:v>-34.113122771638814</c:v>
                </c:pt>
                <c:pt idx="37">
                  <c:v>816.8990420115814</c:v>
                </c:pt>
                <c:pt idx="38">
                  <c:v>812.69904201158135</c:v>
                </c:pt>
                <c:pt idx="39">
                  <c:v>805.69904201158135</c:v>
                </c:pt>
                <c:pt idx="40">
                  <c:v>796.09904201158145</c:v>
                </c:pt>
                <c:pt idx="41">
                  <c:v>783.59904201158145</c:v>
                </c:pt>
                <c:pt idx="42">
                  <c:v>768.49904201158131</c:v>
                </c:pt>
                <c:pt idx="43">
                  <c:v>750.69904201158135</c:v>
                </c:pt>
                <c:pt idx="44">
                  <c:v>730.19904201158135</c:v>
                </c:pt>
                <c:pt idx="45">
                  <c:v>707.09904201158145</c:v>
                </c:pt>
                <c:pt idx="46">
                  <c:v>681.49904201158131</c:v>
                </c:pt>
                <c:pt idx="47">
                  <c:v>653.29904201158149</c:v>
                </c:pt>
                <c:pt idx="48">
                  <c:v>622.79904201158149</c:v>
                </c:pt>
                <c:pt idx="49">
                  <c:v>589.79904201158149</c:v>
                </c:pt>
                <c:pt idx="50">
                  <c:v>554.49904201158131</c:v>
                </c:pt>
                <c:pt idx="51">
                  <c:v>516.99904201158131</c:v>
                </c:pt>
                <c:pt idx="52">
                  <c:v>477.29904201158138</c:v>
                </c:pt>
                <c:pt idx="53">
                  <c:v>435.49904201158142</c:v>
                </c:pt>
                <c:pt idx="54">
                  <c:v>391.79904201158138</c:v>
                </c:pt>
                <c:pt idx="55">
                  <c:v>346.19904201158135</c:v>
                </c:pt>
                <c:pt idx="56">
                  <c:v>298.79904201158138</c:v>
                </c:pt>
                <c:pt idx="57">
                  <c:v>249.79904201158138</c:v>
                </c:pt>
                <c:pt idx="58">
                  <c:v>199.19904201158135</c:v>
                </c:pt>
                <c:pt idx="59">
                  <c:v>147.19904201158135</c:v>
                </c:pt>
                <c:pt idx="60">
                  <c:v>93.8990420115814</c:v>
                </c:pt>
                <c:pt idx="61">
                  <c:v>39.599042011581446</c:v>
                </c:pt>
                <c:pt idx="62">
                  <c:v>-15.700957988418622</c:v>
                </c:pt>
                <c:pt idx="63">
                  <c:v>-71.6009579884186</c:v>
                </c:pt>
                <c:pt idx="64">
                  <c:v>-128.1009579884186</c:v>
                </c:pt>
                <c:pt idx="65">
                  <c:v>-184.6009579884186</c:v>
                </c:pt>
                <c:pt idx="66">
                  <c:v>282.7</c:v>
                </c:pt>
                <c:pt idx="67">
                  <c:v>227.1</c:v>
                </c:pt>
                <c:pt idx="68">
                  <c:v>173.2</c:v>
                </c:pt>
                <c:pt idx="69">
                  <c:v>121.9</c:v>
                </c:pt>
                <c:pt idx="70">
                  <c:v>75.099999999999994</c:v>
                </c:pt>
                <c:pt idx="71">
                  <c:v>36</c:v>
                </c:pt>
                <c:pt idx="72">
                  <c:v>9.8000000000000007</c:v>
                </c:pt>
                <c:pt idx="73">
                  <c:v>5.88</c:v>
                </c:pt>
                <c:pt idx="74">
                  <c:v>21.599999999999998</c:v>
                </c:pt>
                <c:pt idx="75">
                  <c:v>45.059999999999995</c:v>
                </c:pt>
                <c:pt idx="76">
                  <c:v>73.08</c:v>
                </c:pt>
                <c:pt idx="77">
                  <c:v>103.86</c:v>
                </c:pt>
                <c:pt idx="78">
                  <c:v>136.26</c:v>
                </c:pt>
                <c:pt idx="79">
                  <c:v>169.56</c:v>
                </c:pt>
                <c:pt idx="80">
                  <c:v>203.33999999999997</c:v>
                </c:pt>
                <c:pt idx="81">
                  <c:v>237.29999999999998</c:v>
                </c:pt>
                <c:pt idx="82">
                  <c:v>271.14</c:v>
                </c:pt>
                <c:pt idx="83">
                  <c:v>304.73999999999995</c:v>
                </c:pt>
                <c:pt idx="84">
                  <c:v>337.86</c:v>
                </c:pt>
                <c:pt idx="85">
                  <c:v>-153.1009579884186</c:v>
                </c:pt>
                <c:pt idx="86">
                  <c:v>-121.18095798841858</c:v>
                </c:pt>
                <c:pt idx="87">
                  <c:v>-89.980957988418595</c:v>
                </c:pt>
                <c:pt idx="88">
                  <c:v>-59.620957988418638</c:v>
                </c:pt>
                <c:pt idx="89">
                  <c:v>-30.160957988418659</c:v>
                </c:pt>
                <c:pt idx="90">
                  <c:v>-1.7209579884186041</c:v>
                </c:pt>
                <c:pt idx="91">
                  <c:v>25.639042011581409</c:v>
                </c:pt>
                <c:pt idx="92">
                  <c:v>51.859042011581437</c:v>
                </c:pt>
                <c:pt idx="93">
                  <c:v>76.939042011581364</c:v>
                </c:pt>
                <c:pt idx="94">
                  <c:v>100.69904201158135</c:v>
                </c:pt>
                <c:pt idx="95">
                  <c:v>123.2590420115813</c:v>
                </c:pt>
                <c:pt idx="96">
                  <c:v>144.43904201158148</c:v>
                </c:pt>
                <c:pt idx="97">
                  <c:v>164.17904201158137</c:v>
                </c:pt>
                <c:pt idx="98">
                  <c:v>182.53904201158139</c:v>
                </c:pt>
                <c:pt idx="99">
                  <c:v>-88.625629104970699</c:v>
                </c:pt>
                <c:pt idx="100">
                  <c:v>-73.20562910497074</c:v>
                </c:pt>
                <c:pt idx="101">
                  <c:v>-59.345629104970726</c:v>
                </c:pt>
                <c:pt idx="102">
                  <c:v>-47.105629104970717</c:v>
                </c:pt>
                <c:pt idx="103">
                  <c:v>-36.365629104970822</c:v>
                </c:pt>
                <c:pt idx="104">
                  <c:v>-27.305629104970649</c:v>
                </c:pt>
                <c:pt idx="105">
                  <c:v>-19.865629104970822</c:v>
                </c:pt>
                <c:pt idx="106">
                  <c:v>-14.045629104970772</c:v>
                </c:pt>
                <c:pt idx="107">
                  <c:v>-9.8456291049707261</c:v>
                </c:pt>
                <c:pt idx="108">
                  <c:v>-7.3256291049707443</c:v>
                </c:pt>
                <c:pt idx="109">
                  <c:v>-6.5456291049707716</c:v>
                </c:pt>
                <c:pt idx="110">
                  <c:v>-7.3256291049707443</c:v>
                </c:pt>
                <c:pt idx="111">
                  <c:v>-9.8456291049707261</c:v>
                </c:pt>
                <c:pt idx="112">
                  <c:v>-14.045629104970772</c:v>
                </c:pt>
                <c:pt idx="113">
                  <c:v>-19.805629104970649</c:v>
                </c:pt>
                <c:pt idx="114">
                  <c:v>-27.305629104970649</c:v>
                </c:pt>
                <c:pt idx="115">
                  <c:v>-36.365629104970822</c:v>
                </c:pt>
                <c:pt idx="116">
                  <c:v>-47.045629104970772</c:v>
                </c:pt>
                <c:pt idx="117">
                  <c:v>-59.345629104970726</c:v>
                </c:pt>
                <c:pt idx="118">
                  <c:v>-73.20562910497074</c:v>
                </c:pt>
                <c:pt idx="119">
                  <c:v>-88.565629104970753</c:v>
                </c:pt>
                <c:pt idx="120">
                  <c:v>-105.48562910497071</c:v>
                </c:pt>
                <c:pt idx="121">
                  <c:v>-123.78562910497067</c:v>
                </c:pt>
                <c:pt idx="122">
                  <c:v>-143.58562910497062</c:v>
                </c:pt>
                <c:pt idx="123">
                  <c:v>-164.7656291049708</c:v>
                </c:pt>
                <c:pt idx="124">
                  <c:v>-187.2656291049708</c:v>
                </c:pt>
                <c:pt idx="125">
                  <c:v>-211.08562910497074</c:v>
                </c:pt>
                <c:pt idx="126">
                  <c:v>-236.16562910497066</c:v>
                </c:pt>
                <c:pt idx="127">
                  <c:v>-262.38562910497069</c:v>
                </c:pt>
                <c:pt idx="128">
                  <c:v>-289.7456291049707</c:v>
                </c:pt>
                <c:pt idx="129">
                  <c:v>-318.18562910497076</c:v>
                </c:pt>
                <c:pt idx="130">
                  <c:v>-347.58562910497074</c:v>
                </c:pt>
                <c:pt idx="131">
                  <c:v>-377.94562910497075</c:v>
                </c:pt>
                <c:pt idx="132">
                  <c:v>-409.14562910497074</c:v>
                </c:pt>
                <c:pt idx="133">
                  <c:v>-441.1256291049707</c:v>
                </c:pt>
                <c:pt idx="134">
                  <c:v>-473.70562910497068</c:v>
                </c:pt>
                <c:pt idx="135">
                  <c:v>-506.88562910497075</c:v>
                </c:pt>
                <c:pt idx="136">
                  <c:v>-540.42562910497077</c:v>
                </c:pt>
                <c:pt idx="137">
                  <c:v>-574.32562910497074</c:v>
                </c:pt>
                <c:pt idx="138">
                  <c:v>-608.22562910497072</c:v>
                </c:pt>
                <c:pt idx="139">
                  <c:v>-642.00562910497069</c:v>
                </c:pt>
                <c:pt idx="140">
                  <c:v>136.26</c:v>
                </c:pt>
                <c:pt idx="141">
                  <c:v>103.91999999999999</c:v>
                </c:pt>
                <c:pt idx="142">
                  <c:v>73.14</c:v>
                </c:pt>
                <c:pt idx="143">
                  <c:v>45.059999999999995</c:v>
                </c:pt>
                <c:pt idx="144">
                  <c:v>21.599999999999998</c:v>
                </c:pt>
                <c:pt idx="145">
                  <c:v>5.88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3F4E-403A-B884-058922D21538}"/>
            </c:ext>
          </c:extLst>
        </c:ser>
        <c:ser>
          <c:idx val="2"/>
          <c:order val="2"/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Main_Day1_2!$K$6:$K$157</c:f>
              <c:numCache>
                <c:formatCode>yyyy/m/d\ h:mm;@</c:formatCode>
                <c:ptCount val="152"/>
                <c:pt idx="0">
                  <c:v>43751.25</c:v>
                </c:pt>
                <c:pt idx="1">
                  <c:v>43751.256944444445</c:v>
                </c:pt>
                <c:pt idx="2">
                  <c:v>43751.263888888891</c:v>
                </c:pt>
                <c:pt idx="3">
                  <c:v>43751.270833333336</c:v>
                </c:pt>
                <c:pt idx="4">
                  <c:v>43751.277777777781</c:v>
                </c:pt>
                <c:pt idx="5">
                  <c:v>43751.284722222219</c:v>
                </c:pt>
                <c:pt idx="6">
                  <c:v>43751.291666666664</c:v>
                </c:pt>
                <c:pt idx="7">
                  <c:v>43751.298611111109</c:v>
                </c:pt>
                <c:pt idx="8">
                  <c:v>43751.305555555555</c:v>
                </c:pt>
                <c:pt idx="9">
                  <c:v>43751.3125</c:v>
                </c:pt>
                <c:pt idx="10">
                  <c:v>43751.319444444445</c:v>
                </c:pt>
                <c:pt idx="11">
                  <c:v>43751.326388888891</c:v>
                </c:pt>
                <c:pt idx="12">
                  <c:v>43751.333333333336</c:v>
                </c:pt>
                <c:pt idx="13">
                  <c:v>43751.340277777781</c:v>
                </c:pt>
                <c:pt idx="14">
                  <c:v>43751.347222222219</c:v>
                </c:pt>
                <c:pt idx="15">
                  <c:v>43751.354166666664</c:v>
                </c:pt>
                <c:pt idx="16">
                  <c:v>43751.361111111109</c:v>
                </c:pt>
                <c:pt idx="17">
                  <c:v>43751.368055555555</c:v>
                </c:pt>
                <c:pt idx="18">
                  <c:v>43751.375</c:v>
                </c:pt>
                <c:pt idx="19">
                  <c:v>43751.381944444445</c:v>
                </c:pt>
                <c:pt idx="20">
                  <c:v>43751.388888888891</c:v>
                </c:pt>
                <c:pt idx="21">
                  <c:v>43751.395833333336</c:v>
                </c:pt>
                <c:pt idx="22">
                  <c:v>43751.402777777781</c:v>
                </c:pt>
                <c:pt idx="23">
                  <c:v>43751.409722222219</c:v>
                </c:pt>
                <c:pt idx="24">
                  <c:v>43751.416666666664</c:v>
                </c:pt>
                <c:pt idx="25">
                  <c:v>43751.423611111109</c:v>
                </c:pt>
                <c:pt idx="26">
                  <c:v>43751.430555555555</c:v>
                </c:pt>
                <c:pt idx="27">
                  <c:v>43751.4375</c:v>
                </c:pt>
                <c:pt idx="28">
                  <c:v>43751.444444444445</c:v>
                </c:pt>
                <c:pt idx="29">
                  <c:v>43751.451388888891</c:v>
                </c:pt>
                <c:pt idx="30">
                  <c:v>43751.458333333336</c:v>
                </c:pt>
                <c:pt idx="31">
                  <c:v>43751.465277777781</c:v>
                </c:pt>
                <c:pt idx="32">
                  <c:v>43751.472222222219</c:v>
                </c:pt>
                <c:pt idx="33">
                  <c:v>43751.479166666664</c:v>
                </c:pt>
                <c:pt idx="34">
                  <c:v>43751.486111111109</c:v>
                </c:pt>
                <c:pt idx="35">
                  <c:v>43751.493055555555</c:v>
                </c:pt>
                <c:pt idx="36">
                  <c:v>43751.5</c:v>
                </c:pt>
                <c:pt idx="37">
                  <c:v>43751.506944444445</c:v>
                </c:pt>
                <c:pt idx="38">
                  <c:v>43751.513888888891</c:v>
                </c:pt>
                <c:pt idx="39">
                  <c:v>43751.520833333336</c:v>
                </c:pt>
                <c:pt idx="40">
                  <c:v>43751.527777777781</c:v>
                </c:pt>
                <c:pt idx="41">
                  <c:v>43751.534722222219</c:v>
                </c:pt>
                <c:pt idx="42">
                  <c:v>43751.541666666664</c:v>
                </c:pt>
                <c:pt idx="43">
                  <c:v>43751.548611111109</c:v>
                </c:pt>
                <c:pt idx="44">
                  <c:v>43751.555555555555</c:v>
                </c:pt>
                <c:pt idx="45">
                  <c:v>43751.5625</c:v>
                </c:pt>
                <c:pt idx="46">
                  <c:v>43751.569444444445</c:v>
                </c:pt>
                <c:pt idx="47">
                  <c:v>43751.576388888891</c:v>
                </c:pt>
                <c:pt idx="48">
                  <c:v>43751.583333333336</c:v>
                </c:pt>
                <c:pt idx="49">
                  <c:v>43751.590277777781</c:v>
                </c:pt>
                <c:pt idx="50">
                  <c:v>43751.597222222219</c:v>
                </c:pt>
                <c:pt idx="51">
                  <c:v>43751.604166666664</c:v>
                </c:pt>
                <c:pt idx="52">
                  <c:v>43751.611111111109</c:v>
                </c:pt>
                <c:pt idx="53">
                  <c:v>43751.618055555555</c:v>
                </c:pt>
                <c:pt idx="54">
                  <c:v>43751.625</c:v>
                </c:pt>
                <c:pt idx="55">
                  <c:v>43751.631944444445</c:v>
                </c:pt>
                <c:pt idx="56">
                  <c:v>43751.638888888891</c:v>
                </c:pt>
                <c:pt idx="57">
                  <c:v>43751.645833333336</c:v>
                </c:pt>
                <c:pt idx="58">
                  <c:v>43751.652777777781</c:v>
                </c:pt>
                <c:pt idx="59">
                  <c:v>43751.659722222219</c:v>
                </c:pt>
                <c:pt idx="60">
                  <c:v>43751.666666666664</c:v>
                </c:pt>
                <c:pt idx="61">
                  <c:v>43751.673611111109</c:v>
                </c:pt>
                <c:pt idx="62">
                  <c:v>43751.680555555555</c:v>
                </c:pt>
                <c:pt idx="63">
                  <c:v>43751.6875</c:v>
                </c:pt>
                <c:pt idx="64">
                  <c:v>43751.694444444445</c:v>
                </c:pt>
                <c:pt idx="65">
                  <c:v>43751.701388888891</c:v>
                </c:pt>
                <c:pt idx="66">
                  <c:v>43751.708333333336</c:v>
                </c:pt>
                <c:pt idx="67">
                  <c:v>43751.715277777781</c:v>
                </c:pt>
                <c:pt idx="68">
                  <c:v>43751.722222222219</c:v>
                </c:pt>
                <c:pt idx="69">
                  <c:v>43751.729166666664</c:v>
                </c:pt>
                <c:pt idx="70">
                  <c:v>43751.736111111109</c:v>
                </c:pt>
                <c:pt idx="71">
                  <c:v>43751.743055555555</c:v>
                </c:pt>
                <c:pt idx="72">
                  <c:v>43751.75</c:v>
                </c:pt>
                <c:pt idx="73" formatCode="m/d/yyyy\ h:mm">
                  <c:v>43752.25</c:v>
                </c:pt>
                <c:pt idx="74" formatCode="m/d/yyyy\ h:mm">
                  <c:v>43752.256944444445</c:v>
                </c:pt>
                <c:pt idx="75" formatCode="m/d/yyyy\ h:mm">
                  <c:v>43752.263888888891</c:v>
                </c:pt>
                <c:pt idx="76" formatCode="m/d/yyyy\ h:mm">
                  <c:v>43752.270833333336</c:v>
                </c:pt>
                <c:pt idx="77" formatCode="m/d/yyyy\ h:mm">
                  <c:v>43752.277777777781</c:v>
                </c:pt>
                <c:pt idx="78" formatCode="m/d/yyyy\ h:mm">
                  <c:v>43752.284722222219</c:v>
                </c:pt>
                <c:pt idx="79" formatCode="m/d/yyyy\ h:mm">
                  <c:v>43752.291666666664</c:v>
                </c:pt>
                <c:pt idx="80" formatCode="m/d/yyyy\ h:mm">
                  <c:v>43752.298611111109</c:v>
                </c:pt>
                <c:pt idx="81" formatCode="m/d/yyyy\ h:mm">
                  <c:v>43752.305555555555</c:v>
                </c:pt>
                <c:pt idx="82" formatCode="m/d/yyyy\ h:mm">
                  <c:v>43752.3125</c:v>
                </c:pt>
                <c:pt idx="83" formatCode="m/d/yyyy\ h:mm">
                  <c:v>43752.319444444445</c:v>
                </c:pt>
                <c:pt idx="84" formatCode="m/d/yyyy\ h:mm">
                  <c:v>43752.326388888891</c:v>
                </c:pt>
                <c:pt idx="85" formatCode="m/d/yyyy\ h:mm">
                  <c:v>43752.333333333336</c:v>
                </c:pt>
                <c:pt idx="86" formatCode="m/d/yyyy\ h:mm">
                  <c:v>43752.340277777781</c:v>
                </c:pt>
                <c:pt idx="87" formatCode="m/d/yyyy\ h:mm">
                  <c:v>43752.347222222219</c:v>
                </c:pt>
                <c:pt idx="88" formatCode="m/d/yyyy\ h:mm">
                  <c:v>43752.354166666664</c:v>
                </c:pt>
                <c:pt idx="89" formatCode="m/d/yyyy\ h:mm">
                  <c:v>43752.361111111109</c:v>
                </c:pt>
                <c:pt idx="90" formatCode="m/d/yyyy\ h:mm">
                  <c:v>43752.368055555555</c:v>
                </c:pt>
                <c:pt idx="91" formatCode="m/d/yyyy\ h:mm">
                  <c:v>43752.375</c:v>
                </c:pt>
                <c:pt idx="92" formatCode="m/d/yyyy\ h:mm">
                  <c:v>43752.381944444445</c:v>
                </c:pt>
                <c:pt idx="93" formatCode="m/d/yyyy\ h:mm">
                  <c:v>43752.388888888891</c:v>
                </c:pt>
                <c:pt idx="94" formatCode="m/d/yyyy\ h:mm">
                  <c:v>43752.395833333336</c:v>
                </c:pt>
                <c:pt idx="95" formatCode="m/d/yyyy\ h:mm">
                  <c:v>43752.402777777781</c:v>
                </c:pt>
                <c:pt idx="96" formatCode="m/d/yyyy\ h:mm">
                  <c:v>43752.409722222219</c:v>
                </c:pt>
                <c:pt idx="97" formatCode="m/d/yyyy\ h:mm">
                  <c:v>43752.416666666664</c:v>
                </c:pt>
                <c:pt idx="98" formatCode="m/d/yyyy\ h:mm">
                  <c:v>43752.423611111109</c:v>
                </c:pt>
                <c:pt idx="99" formatCode="m/d/yyyy\ h:mm">
                  <c:v>43752.430555555555</c:v>
                </c:pt>
                <c:pt idx="100" formatCode="m/d/yyyy\ h:mm">
                  <c:v>43752.4375</c:v>
                </c:pt>
                <c:pt idx="101" formatCode="m/d/yyyy\ h:mm">
                  <c:v>43752.444444444445</c:v>
                </c:pt>
                <c:pt idx="102" formatCode="m/d/yyyy\ h:mm">
                  <c:v>43752.451388888891</c:v>
                </c:pt>
                <c:pt idx="103" formatCode="m/d/yyyy\ h:mm">
                  <c:v>43752.458333333336</c:v>
                </c:pt>
                <c:pt idx="104" formatCode="m/d/yyyy\ h:mm">
                  <c:v>43752.465277777781</c:v>
                </c:pt>
                <c:pt idx="105" formatCode="m/d/yyyy\ h:mm">
                  <c:v>43752.472222222219</c:v>
                </c:pt>
                <c:pt idx="106" formatCode="m/d/yyyy\ h:mm">
                  <c:v>43752.479166666664</c:v>
                </c:pt>
                <c:pt idx="107" formatCode="m/d/yyyy\ h:mm">
                  <c:v>43752.486111111109</c:v>
                </c:pt>
                <c:pt idx="108" formatCode="m/d/yyyy\ h:mm">
                  <c:v>43752.493055555555</c:v>
                </c:pt>
                <c:pt idx="109" formatCode="m/d/yyyy\ h:mm">
                  <c:v>43752.5</c:v>
                </c:pt>
                <c:pt idx="110" formatCode="m/d/yyyy\ h:mm">
                  <c:v>43752.506944444445</c:v>
                </c:pt>
                <c:pt idx="111" formatCode="m/d/yyyy\ h:mm">
                  <c:v>43752.513888888891</c:v>
                </c:pt>
                <c:pt idx="112" formatCode="m/d/yyyy\ h:mm">
                  <c:v>43752.520833333336</c:v>
                </c:pt>
                <c:pt idx="113" formatCode="m/d/yyyy\ h:mm">
                  <c:v>43752.527777777781</c:v>
                </c:pt>
                <c:pt idx="114" formatCode="m/d/yyyy\ h:mm">
                  <c:v>43752.534722222219</c:v>
                </c:pt>
                <c:pt idx="115" formatCode="m/d/yyyy\ h:mm">
                  <c:v>43752.541666666664</c:v>
                </c:pt>
                <c:pt idx="116" formatCode="m/d/yyyy\ h:mm">
                  <c:v>43752.548611111109</c:v>
                </c:pt>
                <c:pt idx="117" formatCode="m/d/yyyy\ h:mm">
                  <c:v>43752.555555555555</c:v>
                </c:pt>
                <c:pt idx="118" formatCode="m/d/yyyy\ h:mm">
                  <c:v>43752.5625</c:v>
                </c:pt>
                <c:pt idx="119" formatCode="m/d/yyyy\ h:mm">
                  <c:v>43752.569444444445</c:v>
                </c:pt>
                <c:pt idx="120" formatCode="m/d/yyyy\ h:mm">
                  <c:v>43752.576388888891</c:v>
                </c:pt>
                <c:pt idx="121" formatCode="m/d/yyyy\ h:mm">
                  <c:v>43752.583333333336</c:v>
                </c:pt>
                <c:pt idx="122" formatCode="m/d/yyyy\ h:mm">
                  <c:v>43752.590277777781</c:v>
                </c:pt>
                <c:pt idx="123" formatCode="m/d/yyyy\ h:mm">
                  <c:v>43752.597222222219</c:v>
                </c:pt>
                <c:pt idx="124" formatCode="m/d/yyyy\ h:mm">
                  <c:v>43752.604166666664</c:v>
                </c:pt>
                <c:pt idx="125" formatCode="m/d/yyyy\ h:mm">
                  <c:v>43752.611111111109</c:v>
                </c:pt>
                <c:pt idx="126" formatCode="m/d/yyyy\ h:mm">
                  <c:v>43752.618055555555</c:v>
                </c:pt>
                <c:pt idx="127" formatCode="m/d/yyyy\ h:mm">
                  <c:v>43752.625</c:v>
                </c:pt>
                <c:pt idx="128" formatCode="m/d/yyyy\ h:mm">
                  <c:v>43752.631944444445</c:v>
                </c:pt>
                <c:pt idx="129" formatCode="m/d/yyyy\ h:mm">
                  <c:v>43752.638888888891</c:v>
                </c:pt>
                <c:pt idx="130" formatCode="m/d/yyyy\ h:mm">
                  <c:v>43752.645833333336</c:v>
                </c:pt>
                <c:pt idx="131" formatCode="m/d/yyyy\ h:mm">
                  <c:v>43752.652777777781</c:v>
                </c:pt>
                <c:pt idx="132" formatCode="m/d/yyyy\ h:mm">
                  <c:v>43752.659722222219</c:v>
                </c:pt>
                <c:pt idx="133" formatCode="m/d/yyyy\ h:mm">
                  <c:v>43752.666666666664</c:v>
                </c:pt>
                <c:pt idx="134" formatCode="m/d/yyyy\ h:mm">
                  <c:v>43752.673611111109</c:v>
                </c:pt>
                <c:pt idx="135" formatCode="m/d/yyyy\ h:mm">
                  <c:v>43752.680555555555</c:v>
                </c:pt>
                <c:pt idx="136" formatCode="m/d/yyyy\ h:mm">
                  <c:v>43752.6875</c:v>
                </c:pt>
                <c:pt idx="137" formatCode="m/d/yyyy\ h:mm">
                  <c:v>43752.694444444445</c:v>
                </c:pt>
                <c:pt idx="138" formatCode="m/d/yyyy\ h:mm">
                  <c:v>43752.701388888891</c:v>
                </c:pt>
                <c:pt idx="139" formatCode="m/d/yyyy\ h:mm">
                  <c:v>43752.708333333336</c:v>
                </c:pt>
                <c:pt idx="140" formatCode="m/d/yyyy\ h:mm">
                  <c:v>43752.715277777781</c:v>
                </c:pt>
                <c:pt idx="141" formatCode="m/d/yyyy\ h:mm">
                  <c:v>43752.722222222219</c:v>
                </c:pt>
                <c:pt idx="142" formatCode="m/d/yyyy\ h:mm">
                  <c:v>43752.729166666664</c:v>
                </c:pt>
                <c:pt idx="143" formatCode="m/d/yyyy\ h:mm">
                  <c:v>43752.736111111109</c:v>
                </c:pt>
                <c:pt idx="144" formatCode="m/d/yyyy\ h:mm">
                  <c:v>43752.743055555555</c:v>
                </c:pt>
                <c:pt idx="145" formatCode="m/d/yyyy\ h:mm">
                  <c:v>43752.75</c:v>
                </c:pt>
                <c:pt idx="146" formatCode="m/d/yyyy\ h:mm">
                  <c:v>43752.756944444445</c:v>
                </c:pt>
                <c:pt idx="147" formatCode="m/d/yyyy\ h:mm">
                  <c:v>43752.763888888891</c:v>
                </c:pt>
                <c:pt idx="148" formatCode="m/d/yyyy\ h:mm">
                  <c:v>43752.770833333336</c:v>
                </c:pt>
                <c:pt idx="149" formatCode="m/d/yyyy\ h:mm">
                  <c:v>43752.777777777781</c:v>
                </c:pt>
                <c:pt idx="150" formatCode="m/d/yyyy\ h:mm">
                  <c:v>43752.784722222219</c:v>
                </c:pt>
                <c:pt idx="151" formatCode="m/d/yyyy\ h:mm">
                  <c:v>43752.791666666664</c:v>
                </c:pt>
              </c:numCache>
            </c:numRef>
          </c:xVal>
          <c:yVal>
            <c:numRef>
              <c:f>Main_Day1_2!$N$6:$N$157</c:f>
              <c:numCache>
                <c:formatCode>General</c:formatCode>
                <c:ptCount val="152"/>
                <c:pt idx="0">
                  <c:v>4.9000000000000004</c:v>
                </c:pt>
                <c:pt idx="1">
                  <c:v>18</c:v>
                </c:pt>
                <c:pt idx="2">
                  <c:v>37.549999999999997</c:v>
                </c:pt>
                <c:pt idx="3">
                  <c:v>60.9</c:v>
                </c:pt>
                <c:pt idx="4">
                  <c:v>86.55</c:v>
                </c:pt>
                <c:pt idx="5">
                  <c:v>113.55</c:v>
                </c:pt>
                <c:pt idx="6">
                  <c:v>141.30000000000001</c:v>
                </c:pt>
                <c:pt idx="7">
                  <c:v>169.45</c:v>
                </c:pt>
                <c:pt idx="8">
                  <c:v>197.75</c:v>
                </c:pt>
                <c:pt idx="9">
                  <c:v>225.95</c:v>
                </c:pt>
                <c:pt idx="10">
                  <c:v>253.95</c:v>
                </c:pt>
                <c:pt idx="11">
                  <c:v>281.55</c:v>
                </c:pt>
                <c:pt idx="12">
                  <c:v>308.75</c:v>
                </c:pt>
                <c:pt idx="13">
                  <c:v>335.35</c:v>
                </c:pt>
                <c:pt idx="14">
                  <c:v>361.35</c:v>
                </c:pt>
                <c:pt idx="15">
                  <c:v>386.65</c:v>
                </c:pt>
                <c:pt idx="16">
                  <c:v>411.2</c:v>
                </c:pt>
                <c:pt idx="17">
                  <c:v>434.9</c:v>
                </c:pt>
                <c:pt idx="18">
                  <c:v>457.7</c:v>
                </c:pt>
                <c:pt idx="19">
                  <c:v>479.55</c:v>
                </c:pt>
                <c:pt idx="20">
                  <c:v>500.45</c:v>
                </c:pt>
                <c:pt idx="21">
                  <c:v>520.25</c:v>
                </c:pt>
                <c:pt idx="22">
                  <c:v>539.04999999999995</c:v>
                </c:pt>
                <c:pt idx="23">
                  <c:v>556.70000000000005</c:v>
                </c:pt>
                <c:pt idx="24">
                  <c:v>573.15</c:v>
                </c:pt>
                <c:pt idx="25">
                  <c:v>588.45000000000005</c:v>
                </c:pt>
                <c:pt idx="26">
                  <c:v>602.5</c:v>
                </c:pt>
                <c:pt idx="27">
                  <c:v>615.35</c:v>
                </c:pt>
                <c:pt idx="28">
                  <c:v>626.9</c:v>
                </c:pt>
                <c:pt idx="29">
                  <c:v>637.1</c:v>
                </c:pt>
                <c:pt idx="30">
                  <c:v>646.04999999999995</c:v>
                </c:pt>
                <c:pt idx="31">
                  <c:v>653.6</c:v>
                </c:pt>
                <c:pt idx="32">
                  <c:v>659.8</c:v>
                </c:pt>
                <c:pt idx="33">
                  <c:v>664.65</c:v>
                </c:pt>
                <c:pt idx="34">
                  <c:v>668.15</c:v>
                </c:pt>
                <c:pt idx="35">
                  <c:v>670.25</c:v>
                </c:pt>
                <c:pt idx="36">
                  <c:v>670.9</c:v>
                </c:pt>
                <c:pt idx="37">
                  <c:v>1340.5</c:v>
                </c:pt>
                <c:pt idx="38">
                  <c:v>1336.3</c:v>
                </c:pt>
                <c:pt idx="39">
                  <c:v>1329.3</c:v>
                </c:pt>
                <c:pt idx="40">
                  <c:v>1319.7</c:v>
                </c:pt>
                <c:pt idx="41">
                  <c:v>1307.2</c:v>
                </c:pt>
                <c:pt idx="42">
                  <c:v>1292.0999999999999</c:v>
                </c:pt>
                <c:pt idx="43">
                  <c:v>1274.3</c:v>
                </c:pt>
                <c:pt idx="44">
                  <c:v>1253.8</c:v>
                </c:pt>
                <c:pt idx="45">
                  <c:v>1230.7</c:v>
                </c:pt>
                <c:pt idx="46">
                  <c:v>1205.0999999999999</c:v>
                </c:pt>
                <c:pt idx="47">
                  <c:v>1176.9000000000001</c:v>
                </c:pt>
                <c:pt idx="48">
                  <c:v>1146.4000000000001</c:v>
                </c:pt>
                <c:pt idx="49">
                  <c:v>1113.4000000000001</c:v>
                </c:pt>
                <c:pt idx="50">
                  <c:v>1078.0999999999999</c:v>
                </c:pt>
                <c:pt idx="51">
                  <c:v>1040.5999999999999</c:v>
                </c:pt>
                <c:pt idx="52">
                  <c:v>1000.9</c:v>
                </c:pt>
                <c:pt idx="53">
                  <c:v>959.1</c:v>
                </c:pt>
                <c:pt idx="54">
                  <c:v>915.4</c:v>
                </c:pt>
                <c:pt idx="55">
                  <c:v>869.8</c:v>
                </c:pt>
                <c:pt idx="56">
                  <c:v>822.4</c:v>
                </c:pt>
                <c:pt idx="57">
                  <c:v>773.4</c:v>
                </c:pt>
                <c:pt idx="58">
                  <c:v>722.8</c:v>
                </c:pt>
                <c:pt idx="59">
                  <c:v>670.8</c:v>
                </c:pt>
                <c:pt idx="60">
                  <c:v>617.5</c:v>
                </c:pt>
                <c:pt idx="61">
                  <c:v>563.20000000000005</c:v>
                </c:pt>
                <c:pt idx="62">
                  <c:v>507.9</c:v>
                </c:pt>
                <c:pt idx="63">
                  <c:v>452</c:v>
                </c:pt>
                <c:pt idx="64">
                  <c:v>395.5</c:v>
                </c:pt>
                <c:pt idx="65">
                  <c:v>339</c:v>
                </c:pt>
                <c:pt idx="66">
                  <c:v>282.7</c:v>
                </c:pt>
                <c:pt idx="67">
                  <c:v>227.1</c:v>
                </c:pt>
                <c:pt idx="68">
                  <c:v>173.2</c:v>
                </c:pt>
                <c:pt idx="69">
                  <c:v>121.9</c:v>
                </c:pt>
                <c:pt idx="70">
                  <c:v>75.099999999999994</c:v>
                </c:pt>
                <c:pt idx="71">
                  <c:v>36</c:v>
                </c:pt>
                <c:pt idx="72">
                  <c:v>9.8000000000000007</c:v>
                </c:pt>
                <c:pt idx="73">
                  <c:v>5.88</c:v>
                </c:pt>
                <c:pt idx="74">
                  <c:v>21.599999999999998</c:v>
                </c:pt>
                <c:pt idx="75">
                  <c:v>45.059999999999995</c:v>
                </c:pt>
                <c:pt idx="76">
                  <c:v>73.08</c:v>
                </c:pt>
                <c:pt idx="77">
                  <c:v>103.86</c:v>
                </c:pt>
                <c:pt idx="78">
                  <c:v>136.26</c:v>
                </c:pt>
                <c:pt idx="79">
                  <c:v>169.56</c:v>
                </c:pt>
                <c:pt idx="80">
                  <c:v>203.33999999999997</c:v>
                </c:pt>
                <c:pt idx="81">
                  <c:v>237.29999999999998</c:v>
                </c:pt>
                <c:pt idx="82">
                  <c:v>271.14</c:v>
                </c:pt>
                <c:pt idx="83">
                  <c:v>304.73999999999995</c:v>
                </c:pt>
                <c:pt idx="84">
                  <c:v>337.86</c:v>
                </c:pt>
                <c:pt idx="85">
                  <c:v>370.5</c:v>
                </c:pt>
                <c:pt idx="86">
                  <c:v>402.42</c:v>
                </c:pt>
                <c:pt idx="87">
                  <c:v>433.62</c:v>
                </c:pt>
                <c:pt idx="88">
                  <c:v>463.97999999999996</c:v>
                </c:pt>
                <c:pt idx="89">
                  <c:v>493.43999999999994</c:v>
                </c:pt>
                <c:pt idx="90">
                  <c:v>521.88</c:v>
                </c:pt>
                <c:pt idx="91">
                  <c:v>549.24</c:v>
                </c:pt>
                <c:pt idx="92">
                  <c:v>575.46</c:v>
                </c:pt>
                <c:pt idx="93">
                  <c:v>600.54</c:v>
                </c:pt>
                <c:pt idx="94">
                  <c:v>624.29999999999995</c:v>
                </c:pt>
                <c:pt idx="95">
                  <c:v>646.8599999999999</c:v>
                </c:pt>
                <c:pt idx="96">
                  <c:v>668.04000000000008</c:v>
                </c:pt>
                <c:pt idx="97">
                  <c:v>687.78</c:v>
                </c:pt>
                <c:pt idx="98">
                  <c:v>706.14</c:v>
                </c:pt>
                <c:pt idx="99">
                  <c:v>723</c:v>
                </c:pt>
                <c:pt idx="100">
                  <c:v>738.42</c:v>
                </c:pt>
                <c:pt idx="101">
                  <c:v>752.28</c:v>
                </c:pt>
                <c:pt idx="102">
                  <c:v>764.52</c:v>
                </c:pt>
                <c:pt idx="103">
                  <c:v>775.25999999999988</c:v>
                </c:pt>
                <c:pt idx="104">
                  <c:v>784.32</c:v>
                </c:pt>
                <c:pt idx="105">
                  <c:v>791.75999999999988</c:v>
                </c:pt>
                <c:pt idx="106">
                  <c:v>797.57999999999993</c:v>
                </c:pt>
                <c:pt idx="107">
                  <c:v>801.78</c:v>
                </c:pt>
                <c:pt idx="108">
                  <c:v>804.3</c:v>
                </c:pt>
                <c:pt idx="109">
                  <c:v>805.07999999999993</c:v>
                </c:pt>
                <c:pt idx="110">
                  <c:v>804.3</c:v>
                </c:pt>
                <c:pt idx="111">
                  <c:v>801.78</c:v>
                </c:pt>
                <c:pt idx="112">
                  <c:v>797.57999999999993</c:v>
                </c:pt>
                <c:pt idx="113">
                  <c:v>791.82</c:v>
                </c:pt>
                <c:pt idx="114">
                  <c:v>784.32</c:v>
                </c:pt>
                <c:pt idx="115">
                  <c:v>775.25999999999988</c:v>
                </c:pt>
                <c:pt idx="116">
                  <c:v>764.57999999999993</c:v>
                </c:pt>
                <c:pt idx="117">
                  <c:v>752.28</c:v>
                </c:pt>
                <c:pt idx="118">
                  <c:v>738.42</c:v>
                </c:pt>
                <c:pt idx="119">
                  <c:v>723.06</c:v>
                </c:pt>
                <c:pt idx="120">
                  <c:v>706.14</c:v>
                </c:pt>
                <c:pt idx="121">
                  <c:v>687.84</c:v>
                </c:pt>
                <c:pt idx="122">
                  <c:v>668.04000000000008</c:v>
                </c:pt>
                <c:pt idx="123">
                  <c:v>646.8599999999999</c:v>
                </c:pt>
                <c:pt idx="124">
                  <c:v>624.3599999999999</c:v>
                </c:pt>
                <c:pt idx="125">
                  <c:v>600.54</c:v>
                </c:pt>
                <c:pt idx="126">
                  <c:v>575.46</c:v>
                </c:pt>
                <c:pt idx="127">
                  <c:v>549.24</c:v>
                </c:pt>
                <c:pt idx="128">
                  <c:v>521.88</c:v>
                </c:pt>
                <c:pt idx="129">
                  <c:v>493.43999999999994</c:v>
                </c:pt>
                <c:pt idx="130">
                  <c:v>464.03999999999996</c:v>
                </c:pt>
                <c:pt idx="131">
                  <c:v>433.67999999999995</c:v>
                </c:pt>
                <c:pt idx="132">
                  <c:v>402.47999999999996</c:v>
                </c:pt>
                <c:pt idx="133">
                  <c:v>370.5</c:v>
                </c:pt>
                <c:pt idx="134">
                  <c:v>337.92</c:v>
                </c:pt>
                <c:pt idx="135">
                  <c:v>304.73999999999995</c:v>
                </c:pt>
                <c:pt idx="136">
                  <c:v>271.2</c:v>
                </c:pt>
                <c:pt idx="137">
                  <c:v>237.29999999999998</c:v>
                </c:pt>
                <c:pt idx="138">
                  <c:v>203.4</c:v>
                </c:pt>
                <c:pt idx="139">
                  <c:v>169.61999999999998</c:v>
                </c:pt>
                <c:pt idx="140">
                  <c:v>136.26</c:v>
                </c:pt>
                <c:pt idx="141">
                  <c:v>103.91999999999999</c:v>
                </c:pt>
                <c:pt idx="142">
                  <c:v>73.14</c:v>
                </c:pt>
                <c:pt idx="143">
                  <c:v>45.059999999999995</c:v>
                </c:pt>
                <c:pt idx="144">
                  <c:v>21.599999999999998</c:v>
                </c:pt>
                <c:pt idx="145">
                  <c:v>5.88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3F4E-403A-B884-058922D21538}"/>
            </c:ext>
          </c:extLst>
        </c:ser>
        <c:ser>
          <c:idx val="3"/>
          <c:order val="3"/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Main_Day1_2!$K$6:$K$157</c:f>
              <c:numCache>
                <c:formatCode>yyyy/m/d\ h:mm;@</c:formatCode>
                <c:ptCount val="152"/>
                <c:pt idx="0">
                  <c:v>43751.25</c:v>
                </c:pt>
                <c:pt idx="1">
                  <c:v>43751.256944444445</c:v>
                </c:pt>
                <c:pt idx="2">
                  <c:v>43751.263888888891</c:v>
                </c:pt>
                <c:pt idx="3">
                  <c:v>43751.270833333336</c:v>
                </c:pt>
                <c:pt idx="4">
                  <c:v>43751.277777777781</c:v>
                </c:pt>
                <c:pt idx="5">
                  <c:v>43751.284722222219</c:v>
                </c:pt>
                <c:pt idx="6">
                  <c:v>43751.291666666664</c:v>
                </c:pt>
                <c:pt idx="7">
                  <c:v>43751.298611111109</c:v>
                </c:pt>
                <c:pt idx="8">
                  <c:v>43751.305555555555</c:v>
                </c:pt>
                <c:pt idx="9">
                  <c:v>43751.3125</c:v>
                </c:pt>
                <c:pt idx="10">
                  <c:v>43751.319444444445</c:v>
                </c:pt>
                <c:pt idx="11">
                  <c:v>43751.326388888891</c:v>
                </c:pt>
                <c:pt idx="12">
                  <c:v>43751.333333333336</c:v>
                </c:pt>
                <c:pt idx="13">
                  <c:v>43751.340277777781</c:v>
                </c:pt>
                <c:pt idx="14">
                  <c:v>43751.347222222219</c:v>
                </c:pt>
                <c:pt idx="15">
                  <c:v>43751.354166666664</c:v>
                </c:pt>
                <c:pt idx="16">
                  <c:v>43751.361111111109</c:v>
                </c:pt>
                <c:pt idx="17">
                  <c:v>43751.368055555555</c:v>
                </c:pt>
                <c:pt idx="18">
                  <c:v>43751.375</c:v>
                </c:pt>
                <c:pt idx="19">
                  <c:v>43751.381944444445</c:v>
                </c:pt>
                <c:pt idx="20">
                  <c:v>43751.388888888891</c:v>
                </c:pt>
                <c:pt idx="21">
                  <c:v>43751.395833333336</c:v>
                </c:pt>
                <c:pt idx="22">
                  <c:v>43751.402777777781</c:v>
                </c:pt>
                <c:pt idx="23">
                  <c:v>43751.409722222219</c:v>
                </c:pt>
                <c:pt idx="24">
                  <c:v>43751.416666666664</c:v>
                </c:pt>
                <c:pt idx="25">
                  <c:v>43751.423611111109</c:v>
                </c:pt>
                <c:pt idx="26">
                  <c:v>43751.430555555555</c:v>
                </c:pt>
                <c:pt idx="27">
                  <c:v>43751.4375</c:v>
                </c:pt>
                <c:pt idx="28">
                  <c:v>43751.444444444445</c:v>
                </c:pt>
                <c:pt idx="29">
                  <c:v>43751.451388888891</c:v>
                </c:pt>
                <c:pt idx="30">
                  <c:v>43751.458333333336</c:v>
                </c:pt>
                <c:pt idx="31">
                  <c:v>43751.465277777781</c:v>
                </c:pt>
                <c:pt idx="32">
                  <c:v>43751.472222222219</c:v>
                </c:pt>
                <c:pt idx="33">
                  <c:v>43751.479166666664</c:v>
                </c:pt>
                <c:pt idx="34">
                  <c:v>43751.486111111109</c:v>
                </c:pt>
                <c:pt idx="35">
                  <c:v>43751.493055555555</c:v>
                </c:pt>
                <c:pt idx="36">
                  <c:v>43751.5</c:v>
                </c:pt>
                <c:pt idx="37">
                  <c:v>43751.506944444445</c:v>
                </c:pt>
                <c:pt idx="38">
                  <c:v>43751.513888888891</c:v>
                </c:pt>
                <c:pt idx="39">
                  <c:v>43751.520833333336</c:v>
                </c:pt>
                <c:pt idx="40">
                  <c:v>43751.527777777781</c:v>
                </c:pt>
                <c:pt idx="41">
                  <c:v>43751.534722222219</c:v>
                </c:pt>
                <c:pt idx="42">
                  <c:v>43751.541666666664</c:v>
                </c:pt>
                <c:pt idx="43">
                  <c:v>43751.548611111109</c:v>
                </c:pt>
                <c:pt idx="44">
                  <c:v>43751.555555555555</c:v>
                </c:pt>
                <c:pt idx="45">
                  <c:v>43751.5625</c:v>
                </c:pt>
                <c:pt idx="46">
                  <c:v>43751.569444444445</c:v>
                </c:pt>
                <c:pt idx="47">
                  <c:v>43751.576388888891</c:v>
                </c:pt>
                <c:pt idx="48">
                  <c:v>43751.583333333336</c:v>
                </c:pt>
                <c:pt idx="49">
                  <c:v>43751.590277777781</c:v>
                </c:pt>
                <c:pt idx="50">
                  <c:v>43751.597222222219</c:v>
                </c:pt>
                <c:pt idx="51">
                  <c:v>43751.604166666664</c:v>
                </c:pt>
                <c:pt idx="52">
                  <c:v>43751.611111111109</c:v>
                </c:pt>
                <c:pt idx="53">
                  <c:v>43751.618055555555</c:v>
                </c:pt>
                <c:pt idx="54">
                  <c:v>43751.625</c:v>
                </c:pt>
                <c:pt idx="55">
                  <c:v>43751.631944444445</c:v>
                </c:pt>
                <c:pt idx="56">
                  <c:v>43751.638888888891</c:v>
                </c:pt>
                <c:pt idx="57">
                  <c:v>43751.645833333336</c:v>
                </c:pt>
                <c:pt idx="58">
                  <c:v>43751.652777777781</c:v>
                </c:pt>
                <c:pt idx="59">
                  <c:v>43751.659722222219</c:v>
                </c:pt>
                <c:pt idx="60">
                  <c:v>43751.666666666664</c:v>
                </c:pt>
                <c:pt idx="61">
                  <c:v>43751.673611111109</c:v>
                </c:pt>
                <c:pt idx="62">
                  <c:v>43751.680555555555</c:v>
                </c:pt>
                <c:pt idx="63">
                  <c:v>43751.6875</c:v>
                </c:pt>
                <c:pt idx="64">
                  <c:v>43751.694444444445</c:v>
                </c:pt>
                <c:pt idx="65">
                  <c:v>43751.701388888891</c:v>
                </c:pt>
                <c:pt idx="66">
                  <c:v>43751.708333333336</c:v>
                </c:pt>
                <c:pt idx="67">
                  <c:v>43751.715277777781</c:v>
                </c:pt>
                <c:pt idx="68">
                  <c:v>43751.722222222219</c:v>
                </c:pt>
                <c:pt idx="69">
                  <c:v>43751.729166666664</c:v>
                </c:pt>
                <c:pt idx="70">
                  <c:v>43751.736111111109</c:v>
                </c:pt>
                <c:pt idx="71">
                  <c:v>43751.743055555555</c:v>
                </c:pt>
                <c:pt idx="72">
                  <c:v>43751.75</c:v>
                </c:pt>
                <c:pt idx="73" formatCode="m/d/yyyy\ h:mm">
                  <c:v>43752.25</c:v>
                </c:pt>
                <c:pt idx="74" formatCode="m/d/yyyy\ h:mm">
                  <c:v>43752.256944444445</c:v>
                </c:pt>
                <c:pt idx="75" formatCode="m/d/yyyy\ h:mm">
                  <c:v>43752.263888888891</c:v>
                </c:pt>
                <c:pt idx="76" formatCode="m/d/yyyy\ h:mm">
                  <c:v>43752.270833333336</c:v>
                </c:pt>
                <c:pt idx="77" formatCode="m/d/yyyy\ h:mm">
                  <c:v>43752.277777777781</c:v>
                </c:pt>
                <c:pt idx="78" formatCode="m/d/yyyy\ h:mm">
                  <c:v>43752.284722222219</c:v>
                </c:pt>
                <c:pt idx="79" formatCode="m/d/yyyy\ h:mm">
                  <c:v>43752.291666666664</c:v>
                </c:pt>
                <c:pt idx="80" formatCode="m/d/yyyy\ h:mm">
                  <c:v>43752.298611111109</c:v>
                </c:pt>
                <c:pt idx="81" formatCode="m/d/yyyy\ h:mm">
                  <c:v>43752.305555555555</c:v>
                </c:pt>
                <c:pt idx="82" formatCode="m/d/yyyy\ h:mm">
                  <c:v>43752.3125</c:v>
                </c:pt>
                <c:pt idx="83" formatCode="m/d/yyyy\ h:mm">
                  <c:v>43752.319444444445</c:v>
                </c:pt>
                <c:pt idx="84" formatCode="m/d/yyyy\ h:mm">
                  <c:v>43752.326388888891</c:v>
                </c:pt>
                <c:pt idx="85" formatCode="m/d/yyyy\ h:mm">
                  <c:v>43752.333333333336</c:v>
                </c:pt>
                <c:pt idx="86" formatCode="m/d/yyyy\ h:mm">
                  <c:v>43752.340277777781</c:v>
                </c:pt>
                <c:pt idx="87" formatCode="m/d/yyyy\ h:mm">
                  <c:v>43752.347222222219</c:v>
                </c:pt>
                <c:pt idx="88" formatCode="m/d/yyyy\ h:mm">
                  <c:v>43752.354166666664</c:v>
                </c:pt>
                <c:pt idx="89" formatCode="m/d/yyyy\ h:mm">
                  <c:v>43752.361111111109</c:v>
                </c:pt>
                <c:pt idx="90" formatCode="m/d/yyyy\ h:mm">
                  <c:v>43752.368055555555</c:v>
                </c:pt>
                <c:pt idx="91" formatCode="m/d/yyyy\ h:mm">
                  <c:v>43752.375</c:v>
                </c:pt>
                <c:pt idx="92" formatCode="m/d/yyyy\ h:mm">
                  <c:v>43752.381944444445</c:v>
                </c:pt>
                <c:pt idx="93" formatCode="m/d/yyyy\ h:mm">
                  <c:v>43752.388888888891</c:v>
                </c:pt>
                <c:pt idx="94" formatCode="m/d/yyyy\ h:mm">
                  <c:v>43752.395833333336</c:v>
                </c:pt>
                <c:pt idx="95" formatCode="m/d/yyyy\ h:mm">
                  <c:v>43752.402777777781</c:v>
                </c:pt>
                <c:pt idx="96" formatCode="m/d/yyyy\ h:mm">
                  <c:v>43752.409722222219</c:v>
                </c:pt>
                <c:pt idx="97" formatCode="m/d/yyyy\ h:mm">
                  <c:v>43752.416666666664</c:v>
                </c:pt>
                <c:pt idx="98" formatCode="m/d/yyyy\ h:mm">
                  <c:v>43752.423611111109</c:v>
                </c:pt>
                <c:pt idx="99" formatCode="m/d/yyyy\ h:mm">
                  <c:v>43752.430555555555</c:v>
                </c:pt>
                <c:pt idx="100" formatCode="m/d/yyyy\ h:mm">
                  <c:v>43752.4375</c:v>
                </c:pt>
                <c:pt idx="101" formatCode="m/d/yyyy\ h:mm">
                  <c:v>43752.444444444445</c:v>
                </c:pt>
                <c:pt idx="102" formatCode="m/d/yyyy\ h:mm">
                  <c:v>43752.451388888891</c:v>
                </c:pt>
                <c:pt idx="103" formatCode="m/d/yyyy\ h:mm">
                  <c:v>43752.458333333336</c:v>
                </c:pt>
                <c:pt idx="104" formatCode="m/d/yyyy\ h:mm">
                  <c:v>43752.465277777781</c:v>
                </c:pt>
                <c:pt idx="105" formatCode="m/d/yyyy\ h:mm">
                  <c:v>43752.472222222219</c:v>
                </c:pt>
                <c:pt idx="106" formatCode="m/d/yyyy\ h:mm">
                  <c:v>43752.479166666664</c:v>
                </c:pt>
                <c:pt idx="107" formatCode="m/d/yyyy\ h:mm">
                  <c:v>43752.486111111109</c:v>
                </c:pt>
                <c:pt idx="108" formatCode="m/d/yyyy\ h:mm">
                  <c:v>43752.493055555555</c:v>
                </c:pt>
                <c:pt idx="109" formatCode="m/d/yyyy\ h:mm">
                  <c:v>43752.5</c:v>
                </c:pt>
                <c:pt idx="110" formatCode="m/d/yyyy\ h:mm">
                  <c:v>43752.506944444445</c:v>
                </c:pt>
                <c:pt idx="111" formatCode="m/d/yyyy\ h:mm">
                  <c:v>43752.513888888891</c:v>
                </c:pt>
                <c:pt idx="112" formatCode="m/d/yyyy\ h:mm">
                  <c:v>43752.520833333336</c:v>
                </c:pt>
                <c:pt idx="113" formatCode="m/d/yyyy\ h:mm">
                  <c:v>43752.527777777781</c:v>
                </c:pt>
                <c:pt idx="114" formatCode="m/d/yyyy\ h:mm">
                  <c:v>43752.534722222219</c:v>
                </c:pt>
                <c:pt idx="115" formatCode="m/d/yyyy\ h:mm">
                  <c:v>43752.541666666664</c:v>
                </c:pt>
                <c:pt idx="116" formatCode="m/d/yyyy\ h:mm">
                  <c:v>43752.548611111109</c:v>
                </c:pt>
                <c:pt idx="117" formatCode="m/d/yyyy\ h:mm">
                  <c:v>43752.555555555555</c:v>
                </c:pt>
                <c:pt idx="118" formatCode="m/d/yyyy\ h:mm">
                  <c:v>43752.5625</c:v>
                </c:pt>
                <c:pt idx="119" formatCode="m/d/yyyy\ h:mm">
                  <c:v>43752.569444444445</c:v>
                </c:pt>
                <c:pt idx="120" formatCode="m/d/yyyy\ h:mm">
                  <c:v>43752.576388888891</c:v>
                </c:pt>
                <c:pt idx="121" formatCode="m/d/yyyy\ h:mm">
                  <c:v>43752.583333333336</c:v>
                </c:pt>
                <c:pt idx="122" formatCode="m/d/yyyy\ h:mm">
                  <c:v>43752.590277777781</c:v>
                </c:pt>
                <c:pt idx="123" formatCode="m/d/yyyy\ h:mm">
                  <c:v>43752.597222222219</c:v>
                </c:pt>
                <c:pt idx="124" formatCode="m/d/yyyy\ h:mm">
                  <c:v>43752.604166666664</c:v>
                </c:pt>
                <c:pt idx="125" formatCode="m/d/yyyy\ h:mm">
                  <c:v>43752.611111111109</c:v>
                </c:pt>
                <c:pt idx="126" formatCode="m/d/yyyy\ h:mm">
                  <c:v>43752.618055555555</c:v>
                </c:pt>
                <c:pt idx="127" formatCode="m/d/yyyy\ h:mm">
                  <c:v>43752.625</c:v>
                </c:pt>
                <c:pt idx="128" formatCode="m/d/yyyy\ h:mm">
                  <c:v>43752.631944444445</c:v>
                </c:pt>
                <c:pt idx="129" formatCode="m/d/yyyy\ h:mm">
                  <c:v>43752.638888888891</c:v>
                </c:pt>
                <c:pt idx="130" formatCode="m/d/yyyy\ h:mm">
                  <c:v>43752.645833333336</c:v>
                </c:pt>
                <c:pt idx="131" formatCode="m/d/yyyy\ h:mm">
                  <c:v>43752.652777777781</c:v>
                </c:pt>
                <c:pt idx="132" formatCode="m/d/yyyy\ h:mm">
                  <c:v>43752.659722222219</c:v>
                </c:pt>
                <c:pt idx="133" formatCode="m/d/yyyy\ h:mm">
                  <c:v>43752.666666666664</c:v>
                </c:pt>
                <c:pt idx="134" formatCode="m/d/yyyy\ h:mm">
                  <c:v>43752.673611111109</c:v>
                </c:pt>
                <c:pt idx="135" formatCode="m/d/yyyy\ h:mm">
                  <c:v>43752.680555555555</c:v>
                </c:pt>
                <c:pt idx="136" formatCode="m/d/yyyy\ h:mm">
                  <c:v>43752.6875</c:v>
                </c:pt>
                <c:pt idx="137" formatCode="m/d/yyyy\ h:mm">
                  <c:v>43752.694444444445</c:v>
                </c:pt>
                <c:pt idx="138" formatCode="m/d/yyyy\ h:mm">
                  <c:v>43752.701388888891</c:v>
                </c:pt>
                <c:pt idx="139" formatCode="m/d/yyyy\ h:mm">
                  <c:v>43752.708333333336</c:v>
                </c:pt>
                <c:pt idx="140" formatCode="m/d/yyyy\ h:mm">
                  <c:v>43752.715277777781</c:v>
                </c:pt>
                <c:pt idx="141" formatCode="m/d/yyyy\ h:mm">
                  <c:v>43752.722222222219</c:v>
                </c:pt>
                <c:pt idx="142" formatCode="m/d/yyyy\ h:mm">
                  <c:v>43752.729166666664</c:v>
                </c:pt>
                <c:pt idx="143" formatCode="m/d/yyyy\ h:mm">
                  <c:v>43752.736111111109</c:v>
                </c:pt>
                <c:pt idx="144" formatCode="m/d/yyyy\ h:mm">
                  <c:v>43752.743055555555</c:v>
                </c:pt>
                <c:pt idx="145" formatCode="m/d/yyyy\ h:mm">
                  <c:v>43752.75</c:v>
                </c:pt>
                <c:pt idx="146" formatCode="m/d/yyyy\ h:mm">
                  <c:v>43752.756944444445</c:v>
                </c:pt>
                <c:pt idx="147" formatCode="m/d/yyyy\ h:mm">
                  <c:v>43752.763888888891</c:v>
                </c:pt>
                <c:pt idx="148" formatCode="m/d/yyyy\ h:mm">
                  <c:v>43752.770833333336</c:v>
                </c:pt>
                <c:pt idx="149" formatCode="m/d/yyyy\ h:mm">
                  <c:v>43752.777777777781</c:v>
                </c:pt>
                <c:pt idx="150" formatCode="m/d/yyyy\ h:mm">
                  <c:v>43752.784722222219</c:v>
                </c:pt>
                <c:pt idx="151" formatCode="m/d/yyyy\ h:mm">
                  <c:v>43752.791666666664</c:v>
                </c:pt>
              </c:numCache>
            </c:numRef>
          </c:xVal>
          <c:yVal>
            <c:numRef>
              <c:f>Main_Day1_2!$O$6:$O$157</c:f>
              <c:numCache>
                <c:formatCode>General</c:formatCode>
                <c:ptCount val="15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-705.01312277163879</c:v>
                </c:pt>
                <c:pt idx="13">
                  <c:v>-705.01312277163879</c:v>
                </c:pt>
                <c:pt idx="14">
                  <c:v>-705.01312277163879</c:v>
                </c:pt>
                <c:pt idx="15">
                  <c:v>-705.01312277163879</c:v>
                </c:pt>
                <c:pt idx="16">
                  <c:v>-705.01312277163879</c:v>
                </c:pt>
                <c:pt idx="17">
                  <c:v>-705.01312277163879</c:v>
                </c:pt>
                <c:pt idx="18">
                  <c:v>-705.01312277163879</c:v>
                </c:pt>
                <c:pt idx="19">
                  <c:v>-705.01312277163879</c:v>
                </c:pt>
                <c:pt idx="20">
                  <c:v>-705.01312277163879</c:v>
                </c:pt>
                <c:pt idx="21">
                  <c:v>-705.01312277163879</c:v>
                </c:pt>
                <c:pt idx="22">
                  <c:v>-705.01312277163879</c:v>
                </c:pt>
                <c:pt idx="23">
                  <c:v>-705.01312277163879</c:v>
                </c:pt>
                <c:pt idx="24">
                  <c:v>-705.01312277163879</c:v>
                </c:pt>
                <c:pt idx="25">
                  <c:v>-705.01312277163879</c:v>
                </c:pt>
                <c:pt idx="26">
                  <c:v>-705.01312277163879</c:v>
                </c:pt>
                <c:pt idx="27">
                  <c:v>-705.01312277163879</c:v>
                </c:pt>
                <c:pt idx="28">
                  <c:v>-705.01312277163879</c:v>
                </c:pt>
                <c:pt idx="29">
                  <c:v>-705.01312277163879</c:v>
                </c:pt>
                <c:pt idx="30">
                  <c:v>-705.01312277163879</c:v>
                </c:pt>
                <c:pt idx="31">
                  <c:v>-705.01312277163879</c:v>
                </c:pt>
                <c:pt idx="32">
                  <c:v>-705.01312277163879</c:v>
                </c:pt>
                <c:pt idx="33">
                  <c:v>-705.01312277163879</c:v>
                </c:pt>
                <c:pt idx="34">
                  <c:v>-705.01312277163879</c:v>
                </c:pt>
                <c:pt idx="35">
                  <c:v>-705.01312277163879</c:v>
                </c:pt>
                <c:pt idx="36">
                  <c:v>-705.01312277163879</c:v>
                </c:pt>
                <c:pt idx="37">
                  <c:v>-523.6009579884186</c:v>
                </c:pt>
                <c:pt idx="38">
                  <c:v>-523.6009579884186</c:v>
                </c:pt>
                <c:pt idx="39">
                  <c:v>-523.6009579884186</c:v>
                </c:pt>
                <c:pt idx="40">
                  <c:v>-523.6009579884186</c:v>
                </c:pt>
                <c:pt idx="41">
                  <c:v>-523.6009579884186</c:v>
                </c:pt>
                <c:pt idx="42">
                  <c:v>-523.6009579884186</c:v>
                </c:pt>
                <c:pt idx="43">
                  <c:v>-523.6009579884186</c:v>
                </c:pt>
                <c:pt idx="44">
                  <c:v>-523.6009579884186</c:v>
                </c:pt>
                <c:pt idx="45">
                  <c:v>-523.6009579884186</c:v>
                </c:pt>
                <c:pt idx="46">
                  <c:v>-523.6009579884186</c:v>
                </c:pt>
                <c:pt idx="47">
                  <c:v>-523.6009579884186</c:v>
                </c:pt>
                <c:pt idx="48">
                  <c:v>-523.6009579884186</c:v>
                </c:pt>
                <c:pt idx="49">
                  <c:v>-523.6009579884186</c:v>
                </c:pt>
                <c:pt idx="50">
                  <c:v>-523.6009579884186</c:v>
                </c:pt>
                <c:pt idx="51">
                  <c:v>-523.6009579884186</c:v>
                </c:pt>
                <c:pt idx="52">
                  <c:v>-523.6009579884186</c:v>
                </c:pt>
                <c:pt idx="53">
                  <c:v>-523.6009579884186</c:v>
                </c:pt>
                <c:pt idx="54">
                  <c:v>-523.6009579884186</c:v>
                </c:pt>
                <c:pt idx="55">
                  <c:v>-523.6009579884186</c:v>
                </c:pt>
                <c:pt idx="56">
                  <c:v>-523.6009579884186</c:v>
                </c:pt>
                <c:pt idx="57">
                  <c:v>-523.6009579884186</c:v>
                </c:pt>
                <c:pt idx="58">
                  <c:v>-523.6009579884186</c:v>
                </c:pt>
                <c:pt idx="59">
                  <c:v>-523.6009579884186</c:v>
                </c:pt>
                <c:pt idx="60">
                  <c:v>-523.6009579884186</c:v>
                </c:pt>
                <c:pt idx="61">
                  <c:v>-523.6009579884186</c:v>
                </c:pt>
                <c:pt idx="62">
                  <c:v>-523.6009579884186</c:v>
                </c:pt>
                <c:pt idx="63">
                  <c:v>-523.6009579884186</c:v>
                </c:pt>
                <c:pt idx="64">
                  <c:v>-523.6009579884186</c:v>
                </c:pt>
                <c:pt idx="65">
                  <c:v>-523.6009579884186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-523.6009579884186</c:v>
                </c:pt>
                <c:pt idx="86">
                  <c:v>-523.6009579884186</c:v>
                </c:pt>
                <c:pt idx="87">
                  <c:v>-523.6009579884186</c:v>
                </c:pt>
                <c:pt idx="88">
                  <c:v>-523.6009579884186</c:v>
                </c:pt>
                <c:pt idx="89">
                  <c:v>-523.6009579884186</c:v>
                </c:pt>
                <c:pt idx="90">
                  <c:v>-523.6009579884186</c:v>
                </c:pt>
                <c:pt idx="91">
                  <c:v>-523.6009579884186</c:v>
                </c:pt>
                <c:pt idx="92">
                  <c:v>-523.6009579884186</c:v>
                </c:pt>
                <c:pt idx="93">
                  <c:v>-523.6009579884186</c:v>
                </c:pt>
                <c:pt idx="94">
                  <c:v>-523.6009579884186</c:v>
                </c:pt>
                <c:pt idx="95">
                  <c:v>-523.6009579884186</c:v>
                </c:pt>
                <c:pt idx="96">
                  <c:v>-523.6009579884186</c:v>
                </c:pt>
                <c:pt idx="97">
                  <c:v>-523.6009579884186</c:v>
                </c:pt>
                <c:pt idx="98">
                  <c:v>-523.6009579884186</c:v>
                </c:pt>
                <c:pt idx="99">
                  <c:v>-811.6256291049707</c:v>
                </c:pt>
                <c:pt idx="100">
                  <c:v>-811.6256291049707</c:v>
                </c:pt>
                <c:pt idx="101">
                  <c:v>-811.6256291049707</c:v>
                </c:pt>
                <c:pt idx="102">
                  <c:v>-811.6256291049707</c:v>
                </c:pt>
                <c:pt idx="103">
                  <c:v>-811.6256291049707</c:v>
                </c:pt>
                <c:pt idx="104">
                  <c:v>-811.6256291049707</c:v>
                </c:pt>
                <c:pt idx="105">
                  <c:v>-811.6256291049707</c:v>
                </c:pt>
                <c:pt idx="106">
                  <c:v>-811.6256291049707</c:v>
                </c:pt>
                <c:pt idx="107">
                  <c:v>-811.6256291049707</c:v>
                </c:pt>
                <c:pt idx="108">
                  <c:v>-811.6256291049707</c:v>
                </c:pt>
                <c:pt idx="109">
                  <c:v>-811.6256291049707</c:v>
                </c:pt>
                <c:pt idx="110">
                  <c:v>-811.6256291049707</c:v>
                </c:pt>
                <c:pt idx="111">
                  <c:v>-811.6256291049707</c:v>
                </c:pt>
                <c:pt idx="112">
                  <c:v>-811.6256291049707</c:v>
                </c:pt>
                <c:pt idx="113">
                  <c:v>-811.6256291049707</c:v>
                </c:pt>
                <c:pt idx="114">
                  <c:v>-811.6256291049707</c:v>
                </c:pt>
                <c:pt idx="115">
                  <c:v>-811.6256291049707</c:v>
                </c:pt>
                <c:pt idx="116">
                  <c:v>-811.6256291049707</c:v>
                </c:pt>
                <c:pt idx="117">
                  <c:v>-811.6256291049707</c:v>
                </c:pt>
                <c:pt idx="118">
                  <c:v>-811.6256291049707</c:v>
                </c:pt>
                <c:pt idx="119">
                  <c:v>-811.6256291049707</c:v>
                </c:pt>
                <c:pt idx="120">
                  <c:v>-811.6256291049707</c:v>
                </c:pt>
                <c:pt idx="121">
                  <c:v>-811.6256291049707</c:v>
                </c:pt>
                <c:pt idx="122">
                  <c:v>-811.6256291049707</c:v>
                </c:pt>
                <c:pt idx="123">
                  <c:v>-811.6256291049707</c:v>
                </c:pt>
                <c:pt idx="124">
                  <c:v>-811.6256291049707</c:v>
                </c:pt>
                <c:pt idx="125">
                  <c:v>-811.6256291049707</c:v>
                </c:pt>
                <c:pt idx="126">
                  <c:v>-811.6256291049707</c:v>
                </c:pt>
                <c:pt idx="127">
                  <c:v>-811.6256291049707</c:v>
                </c:pt>
                <c:pt idx="128">
                  <c:v>-811.6256291049707</c:v>
                </c:pt>
                <c:pt idx="129">
                  <c:v>-811.6256291049707</c:v>
                </c:pt>
                <c:pt idx="130">
                  <c:v>-811.6256291049707</c:v>
                </c:pt>
                <c:pt idx="131">
                  <c:v>-811.6256291049707</c:v>
                </c:pt>
                <c:pt idx="132">
                  <c:v>-811.6256291049707</c:v>
                </c:pt>
                <c:pt idx="133">
                  <c:v>-811.6256291049707</c:v>
                </c:pt>
                <c:pt idx="134">
                  <c:v>-811.6256291049707</c:v>
                </c:pt>
                <c:pt idx="135">
                  <c:v>-811.6256291049707</c:v>
                </c:pt>
                <c:pt idx="136">
                  <c:v>-811.6256291049707</c:v>
                </c:pt>
                <c:pt idx="137">
                  <c:v>-811.6256291049707</c:v>
                </c:pt>
                <c:pt idx="138">
                  <c:v>-811.6256291049707</c:v>
                </c:pt>
                <c:pt idx="139">
                  <c:v>-811.6256291049707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3F4E-403A-B884-058922D2153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60121936"/>
        <c:axId val="460119376"/>
      </c:scatterChart>
      <c:valAx>
        <c:axId val="46012193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yyyy/m/d\ h: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0119376"/>
        <c:crosses val="autoZero"/>
        <c:crossBetween val="midCat"/>
      </c:valAx>
      <c:valAx>
        <c:axId val="4601193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012193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smoothMarker"/>
        <c:varyColors val="0"/>
        <c:ser>
          <c:idx val="1"/>
          <c:order val="1"/>
          <c:tx>
            <c:strRef>
              <c:f>Main_Day1_2!$M$5</c:f>
              <c:strCache>
                <c:ptCount val="1"/>
                <c:pt idx="0">
                  <c:v>PB[W]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Main_Day1_2!$K$6:$K$157</c:f>
              <c:numCache>
                <c:formatCode>yyyy/m/d\ h:mm;@</c:formatCode>
                <c:ptCount val="152"/>
                <c:pt idx="0">
                  <c:v>43751.25</c:v>
                </c:pt>
                <c:pt idx="1">
                  <c:v>43751.256944444445</c:v>
                </c:pt>
                <c:pt idx="2">
                  <c:v>43751.263888888891</c:v>
                </c:pt>
                <c:pt idx="3">
                  <c:v>43751.270833333336</c:v>
                </c:pt>
                <c:pt idx="4">
                  <c:v>43751.277777777781</c:v>
                </c:pt>
                <c:pt idx="5">
                  <c:v>43751.284722222219</c:v>
                </c:pt>
                <c:pt idx="6">
                  <c:v>43751.291666666664</c:v>
                </c:pt>
                <c:pt idx="7">
                  <c:v>43751.298611111109</c:v>
                </c:pt>
                <c:pt idx="8">
                  <c:v>43751.305555555555</c:v>
                </c:pt>
                <c:pt idx="9">
                  <c:v>43751.3125</c:v>
                </c:pt>
                <c:pt idx="10">
                  <c:v>43751.319444444445</c:v>
                </c:pt>
                <c:pt idx="11">
                  <c:v>43751.326388888891</c:v>
                </c:pt>
                <c:pt idx="12">
                  <c:v>43751.333333333336</c:v>
                </c:pt>
                <c:pt idx="13">
                  <c:v>43751.340277777781</c:v>
                </c:pt>
                <c:pt idx="14">
                  <c:v>43751.347222222219</c:v>
                </c:pt>
                <c:pt idx="15">
                  <c:v>43751.354166666664</c:v>
                </c:pt>
                <c:pt idx="16">
                  <c:v>43751.361111111109</c:v>
                </c:pt>
                <c:pt idx="17">
                  <c:v>43751.368055555555</c:v>
                </c:pt>
                <c:pt idx="18">
                  <c:v>43751.375</c:v>
                </c:pt>
                <c:pt idx="19">
                  <c:v>43751.381944444445</c:v>
                </c:pt>
                <c:pt idx="20">
                  <c:v>43751.388888888891</c:v>
                </c:pt>
                <c:pt idx="21">
                  <c:v>43751.395833333336</c:v>
                </c:pt>
                <c:pt idx="22">
                  <c:v>43751.402777777781</c:v>
                </c:pt>
                <c:pt idx="23">
                  <c:v>43751.409722222219</c:v>
                </c:pt>
                <c:pt idx="24">
                  <c:v>43751.416666666664</c:v>
                </c:pt>
                <c:pt idx="25">
                  <c:v>43751.423611111109</c:v>
                </c:pt>
                <c:pt idx="26">
                  <c:v>43751.430555555555</c:v>
                </c:pt>
                <c:pt idx="27">
                  <c:v>43751.4375</c:v>
                </c:pt>
                <c:pt idx="28">
                  <c:v>43751.444444444445</c:v>
                </c:pt>
                <c:pt idx="29">
                  <c:v>43751.451388888891</c:v>
                </c:pt>
                <c:pt idx="30">
                  <c:v>43751.458333333336</c:v>
                </c:pt>
                <c:pt idx="31">
                  <c:v>43751.465277777781</c:v>
                </c:pt>
                <c:pt idx="32">
                  <c:v>43751.472222222219</c:v>
                </c:pt>
                <c:pt idx="33">
                  <c:v>43751.479166666664</c:v>
                </c:pt>
                <c:pt idx="34">
                  <c:v>43751.486111111109</c:v>
                </c:pt>
                <c:pt idx="35">
                  <c:v>43751.493055555555</c:v>
                </c:pt>
                <c:pt idx="36">
                  <c:v>43751.5</c:v>
                </c:pt>
                <c:pt idx="37">
                  <c:v>43751.506944444445</c:v>
                </c:pt>
                <c:pt idx="38">
                  <c:v>43751.513888888891</c:v>
                </c:pt>
                <c:pt idx="39">
                  <c:v>43751.520833333336</c:v>
                </c:pt>
                <c:pt idx="40">
                  <c:v>43751.527777777781</c:v>
                </c:pt>
                <c:pt idx="41">
                  <c:v>43751.534722222219</c:v>
                </c:pt>
                <c:pt idx="42">
                  <c:v>43751.541666666664</c:v>
                </c:pt>
                <c:pt idx="43">
                  <c:v>43751.548611111109</c:v>
                </c:pt>
                <c:pt idx="44">
                  <c:v>43751.555555555555</c:v>
                </c:pt>
                <c:pt idx="45">
                  <c:v>43751.5625</c:v>
                </c:pt>
                <c:pt idx="46">
                  <c:v>43751.569444444445</c:v>
                </c:pt>
                <c:pt idx="47">
                  <c:v>43751.576388888891</c:v>
                </c:pt>
                <c:pt idx="48">
                  <c:v>43751.583333333336</c:v>
                </c:pt>
                <c:pt idx="49">
                  <c:v>43751.590277777781</c:v>
                </c:pt>
                <c:pt idx="50">
                  <c:v>43751.597222222219</c:v>
                </c:pt>
                <c:pt idx="51">
                  <c:v>43751.604166666664</c:v>
                </c:pt>
                <c:pt idx="52">
                  <c:v>43751.611111111109</c:v>
                </c:pt>
                <c:pt idx="53">
                  <c:v>43751.618055555555</c:v>
                </c:pt>
                <c:pt idx="54">
                  <c:v>43751.625</c:v>
                </c:pt>
                <c:pt idx="55">
                  <c:v>43751.631944444445</c:v>
                </c:pt>
                <c:pt idx="56">
                  <c:v>43751.638888888891</c:v>
                </c:pt>
                <c:pt idx="57">
                  <c:v>43751.645833333336</c:v>
                </c:pt>
                <c:pt idx="58">
                  <c:v>43751.652777777781</c:v>
                </c:pt>
                <c:pt idx="59">
                  <c:v>43751.659722222219</c:v>
                </c:pt>
                <c:pt idx="60">
                  <c:v>43751.666666666664</c:v>
                </c:pt>
                <c:pt idx="61">
                  <c:v>43751.673611111109</c:v>
                </c:pt>
                <c:pt idx="62">
                  <c:v>43751.680555555555</c:v>
                </c:pt>
                <c:pt idx="63">
                  <c:v>43751.6875</c:v>
                </c:pt>
                <c:pt idx="64">
                  <c:v>43751.694444444445</c:v>
                </c:pt>
                <c:pt idx="65">
                  <c:v>43751.701388888891</c:v>
                </c:pt>
                <c:pt idx="66">
                  <c:v>43751.708333333336</c:v>
                </c:pt>
                <c:pt idx="67">
                  <c:v>43751.715277777781</c:v>
                </c:pt>
                <c:pt idx="68">
                  <c:v>43751.722222222219</c:v>
                </c:pt>
                <c:pt idx="69">
                  <c:v>43751.729166666664</c:v>
                </c:pt>
                <c:pt idx="70">
                  <c:v>43751.736111111109</c:v>
                </c:pt>
                <c:pt idx="71">
                  <c:v>43751.743055555555</c:v>
                </c:pt>
                <c:pt idx="72">
                  <c:v>43751.75</c:v>
                </c:pt>
                <c:pt idx="73" formatCode="m/d/yyyy\ h:mm">
                  <c:v>43752.25</c:v>
                </c:pt>
                <c:pt idx="74" formatCode="m/d/yyyy\ h:mm">
                  <c:v>43752.256944444445</c:v>
                </c:pt>
                <c:pt idx="75" formatCode="m/d/yyyy\ h:mm">
                  <c:v>43752.263888888891</c:v>
                </c:pt>
                <c:pt idx="76" formatCode="m/d/yyyy\ h:mm">
                  <c:v>43752.270833333336</c:v>
                </c:pt>
                <c:pt idx="77" formatCode="m/d/yyyy\ h:mm">
                  <c:v>43752.277777777781</c:v>
                </c:pt>
                <c:pt idx="78" formatCode="m/d/yyyy\ h:mm">
                  <c:v>43752.284722222219</c:v>
                </c:pt>
                <c:pt idx="79" formatCode="m/d/yyyy\ h:mm">
                  <c:v>43752.291666666664</c:v>
                </c:pt>
                <c:pt idx="80" formatCode="m/d/yyyy\ h:mm">
                  <c:v>43752.298611111109</c:v>
                </c:pt>
                <c:pt idx="81" formatCode="m/d/yyyy\ h:mm">
                  <c:v>43752.305555555555</c:v>
                </c:pt>
                <c:pt idx="82" formatCode="m/d/yyyy\ h:mm">
                  <c:v>43752.3125</c:v>
                </c:pt>
                <c:pt idx="83" formatCode="m/d/yyyy\ h:mm">
                  <c:v>43752.319444444445</c:v>
                </c:pt>
                <c:pt idx="84" formatCode="m/d/yyyy\ h:mm">
                  <c:v>43752.326388888891</c:v>
                </c:pt>
                <c:pt idx="85" formatCode="m/d/yyyy\ h:mm">
                  <c:v>43752.333333333336</c:v>
                </c:pt>
                <c:pt idx="86" formatCode="m/d/yyyy\ h:mm">
                  <c:v>43752.340277777781</c:v>
                </c:pt>
                <c:pt idx="87" formatCode="m/d/yyyy\ h:mm">
                  <c:v>43752.347222222219</c:v>
                </c:pt>
                <c:pt idx="88" formatCode="m/d/yyyy\ h:mm">
                  <c:v>43752.354166666664</c:v>
                </c:pt>
                <c:pt idx="89" formatCode="m/d/yyyy\ h:mm">
                  <c:v>43752.361111111109</c:v>
                </c:pt>
                <c:pt idx="90" formatCode="m/d/yyyy\ h:mm">
                  <c:v>43752.368055555555</c:v>
                </c:pt>
                <c:pt idx="91" formatCode="m/d/yyyy\ h:mm">
                  <c:v>43752.375</c:v>
                </c:pt>
                <c:pt idx="92" formatCode="m/d/yyyy\ h:mm">
                  <c:v>43752.381944444445</c:v>
                </c:pt>
                <c:pt idx="93" formatCode="m/d/yyyy\ h:mm">
                  <c:v>43752.388888888891</c:v>
                </c:pt>
                <c:pt idx="94" formatCode="m/d/yyyy\ h:mm">
                  <c:v>43752.395833333336</c:v>
                </c:pt>
                <c:pt idx="95" formatCode="m/d/yyyy\ h:mm">
                  <c:v>43752.402777777781</c:v>
                </c:pt>
                <c:pt idx="96" formatCode="m/d/yyyy\ h:mm">
                  <c:v>43752.409722222219</c:v>
                </c:pt>
                <c:pt idx="97" formatCode="m/d/yyyy\ h:mm">
                  <c:v>43752.416666666664</c:v>
                </c:pt>
                <c:pt idx="98" formatCode="m/d/yyyy\ h:mm">
                  <c:v>43752.423611111109</c:v>
                </c:pt>
                <c:pt idx="99" formatCode="m/d/yyyy\ h:mm">
                  <c:v>43752.430555555555</c:v>
                </c:pt>
                <c:pt idx="100" formatCode="m/d/yyyy\ h:mm">
                  <c:v>43752.4375</c:v>
                </c:pt>
                <c:pt idx="101" formatCode="m/d/yyyy\ h:mm">
                  <c:v>43752.444444444445</c:v>
                </c:pt>
                <c:pt idx="102" formatCode="m/d/yyyy\ h:mm">
                  <c:v>43752.451388888891</c:v>
                </c:pt>
                <c:pt idx="103" formatCode="m/d/yyyy\ h:mm">
                  <c:v>43752.458333333336</c:v>
                </c:pt>
                <c:pt idx="104" formatCode="m/d/yyyy\ h:mm">
                  <c:v>43752.465277777781</c:v>
                </c:pt>
                <c:pt idx="105" formatCode="m/d/yyyy\ h:mm">
                  <c:v>43752.472222222219</c:v>
                </c:pt>
                <c:pt idx="106" formatCode="m/d/yyyy\ h:mm">
                  <c:v>43752.479166666664</c:v>
                </c:pt>
                <c:pt idx="107" formatCode="m/d/yyyy\ h:mm">
                  <c:v>43752.486111111109</c:v>
                </c:pt>
                <c:pt idx="108" formatCode="m/d/yyyy\ h:mm">
                  <c:v>43752.493055555555</c:v>
                </c:pt>
                <c:pt idx="109" formatCode="m/d/yyyy\ h:mm">
                  <c:v>43752.5</c:v>
                </c:pt>
                <c:pt idx="110" formatCode="m/d/yyyy\ h:mm">
                  <c:v>43752.506944444445</c:v>
                </c:pt>
                <c:pt idx="111" formatCode="m/d/yyyy\ h:mm">
                  <c:v>43752.513888888891</c:v>
                </c:pt>
                <c:pt idx="112" formatCode="m/d/yyyy\ h:mm">
                  <c:v>43752.520833333336</c:v>
                </c:pt>
                <c:pt idx="113" formatCode="m/d/yyyy\ h:mm">
                  <c:v>43752.527777777781</c:v>
                </c:pt>
                <c:pt idx="114" formatCode="m/d/yyyy\ h:mm">
                  <c:v>43752.534722222219</c:v>
                </c:pt>
                <c:pt idx="115" formatCode="m/d/yyyy\ h:mm">
                  <c:v>43752.541666666664</c:v>
                </c:pt>
                <c:pt idx="116" formatCode="m/d/yyyy\ h:mm">
                  <c:v>43752.548611111109</c:v>
                </c:pt>
                <c:pt idx="117" formatCode="m/d/yyyy\ h:mm">
                  <c:v>43752.555555555555</c:v>
                </c:pt>
                <c:pt idx="118" formatCode="m/d/yyyy\ h:mm">
                  <c:v>43752.5625</c:v>
                </c:pt>
                <c:pt idx="119" formatCode="m/d/yyyy\ h:mm">
                  <c:v>43752.569444444445</c:v>
                </c:pt>
                <c:pt idx="120" formatCode="m/d/yyyy\ h:mm">
                  <c:v>43752.576388888891</c:v>
                </c:pt>
                <c:pt idx="121" formatCode="m/d/yyyy\ h:mm">
                  <c:v>43752.583333333336</c:v>
                </c:pt>
                <c:pt idx="122" formatCode="m/d/yyyy\ h:mm">
                  <c:v>43752.590277777781</c:v>
                </c:pt>
                <c:pt idx="123" formatCode="m/d/yyyy\ h:mm">
                  <c:v>43752.597222222219</c:v>
                </c:pt>
                <c:pt idx="124" formatCode="m/d/yyyy\ h:mm">
                  <c:v>43752.604166666664</c:v>
                </c:pt>
                <c:pt idx="125" formatCode="m/d/yyyy\ h:mm">
                  <c:v>43752.611111111109</c:v>
                </c:pt>
                <c:pt idx="126" formatCode="m/d/yyyy\ h:mm">
                  <c:v>43752.618055555555</c:v>
                </c:pt>
                <c:pt idx="127" formatCode="m/d/yyyy\ h:mm">
                  <c:v>43752.625</c:v>
                </c:pt>
                <c:pt idx="128" formatCode="m/d/yyyy\ h:mm">
                  <c:v>43752.631944444445</c:v>
                </c:pt>
                <c:pt idx="129" formatCode="m/d/yyyy\ h:mm">
                  <c:v>43752.638888888891</c:v>
                </c:pt>
                <c:pt idx="130" formatCode="m/d/yyyy\ h:mm">
                  <c:v>43752.645833333336</c:v>
                </c:pt>
                <c:pt idx="131" formatCode="m/d/yyyy\ h:mm">
                  <c:v>43752.652777777781</c:v>
                </c:pt>
                <c:pt idx="132" formatCode="m/d/yyyy\ h:mm">
                  <c:v>43752.659722222219</c:v>
                </c:pt>
                <c:pt idx="133" formatCode="m/d/yyyy\ h:mm">
                  <c:v>43752.666666666664</c:v>
                </c:pt>
                <c:pt idx="134" formatCode="m/d/yyyy\ h:mm">
                  <c:v>43752.673611111109</c:v>
                </c:pt>
                <c:pt idx="135" formatCode="m/d/yyyy\ h:mm">
                  <c:v>43752.680555555555</c:v>
                </c:pt>
                <c:pt idx="136" formatCode="m/d/yyyy\ h:mm">
                  <c:v>43752.6875</c:v>
                </c:pt>
                <c:pt idx="137" formatCode="m/d/yyyy\ h:mm">
                  <c:v>43752.694444444445</c:v>
                </c:pt>
                <c:pt idx="138" formatCode="m/d/yyyy\ h:mm">
                  <c:v>43752.701388888891</c:v>
                </c:pt>
                <c:pt idx="139" formatCode="m/d/yyyy\ h:mm">
                  <c:v>43752.708333333336</c:v>
                </c:pt>
                <c:pt idx="140" formatCode="m/d/yyyy\ h:mm">
                  <c:v>43752.715277777781</c:v>
                </c:pt>
                <c:pt idx="141" formatCode="m/d/yyyy\ h:mm">
                  <c:v>43752.722222222219</c:v>
                </c:pt>
                <c:pt idx="142" formatCode="m/d/yyyy\ h:mm">
                  <c:v>43752.729166666664</c:v>
                </c:pt>
                <c:pt idx="143" formatCode="m/d/yyyy\ h:mm">
                  <c:v>43752.736111111109</c:v>
                </c:pt>
                <c:pt idx="144" formatCode="m/d/yyyy\ h:mm">
                  <c:v>43752.743055555555</c:v>
                </c:pt>
                <c:pt idx="145" formatCode="m/d/yyyy\ h:mm">
                  <c:v>43752.75</c:v>
                </c:pt>
                <c:pt idx="146" formatCode="m/d/yyyy\ h:mm">
                  <c:v>43752.756944444445</c:v>
                </c:pt>
                <c:pt idx="147" formatCode="m/d/yyyy\ h:mm">
                  <c:v>43752.763888888891</c:v>
                </c:pt>
                <c:pt idx="148" formatCode="m/d/yyyy\ h:mm">
                  <c:v>43752.770833333336</c:v>
                </c:pt>
                <c:pt idx="149" formatCode="m/d/yyyy\ h:mm">
                  <c:v>43752.777777777781</c:v>
                </c:pt>
                <c:pt idx="150" formatCode="m/d/yyyy\ h:mm">
                  <c:v>43752.784722222219</c:v>
                </c:pt>
                <c:pt idx="151" formatCode="m/d/yyyy\ h:mm">
                  <c:v>43752.791666666664</c:v>
                </c:pt>
              </c:numCache>
            </c:numRef>
          </c:xVal>
          <c:yVal>
            <c:numRef>
              <c:f>Main_Day1_2!$M$6:$M$157</c:f>
              <c:numCache>
                <c:formatCode>General</c:formatCode>
                <c:ptCount val="152"/>
                <c:pt idx="0">
                  <c:v>4.9000000000000004</c:v>
                </c:pt>
                <c:pt idx="1">
                  <c:v>18</c:v>
                </c:pt>
                <c:pt idx="2">
                  <c:v>37.549999999999997</c:v>
                </c:pt>
                <c:pt idx="3">
                  <c:v>60.9</c:v>
                </c:pt>
                <c:pt idx="4">
                  <c:v>86.55</c:v>
                </c:pt>
                <c:pt idx="5">
                  <c:v>113.55</c:v>
                </c:pt>
                <c:pt idx="6">
                  <c:v>141.30000000000001</c:v>
                </c:pt>
                <c:pt idx="7">
                  <c:v>169.45</c:v>
                </c:pt>
                <c:pt idx="8">
                  <c:v>197.75</c:v>
                </c:pt>
                <c:pt idx="9">
                  <c:v>225.95</c:v>
                </c:pt>
                <c:pt idx="10">
                  <c:v>253.95</c:v>
                </c:pt>
                <c:pt idx="11">
                  <c:v>281.55</c:v>
                </c:pt>
                <c:pt idx="12">
                  <c:v>-396.26312277163879</c:v>
                </c:pt>
                <c:pt idx="13">
                  <c:v>-369.66312277163877</c:v>
                </c:pt>
                <c:pt idx="14">
                  <c:v>-343.66312277163877</c:v>
                </c:pt>
                <c:pt idx="15">
                  <c:v>-318.36312277163881</c:v>
                </c:pt>
                <c:pt idx="16">
                  <c:v>-293.8131227716388</c:v>
                </c:pt>
                <c:pt idx="17">
                  <c:v>-270.11312277163881</c:v>
                </c:pt>
                <c:pt idx="18">
                  <c:v>-247.3131227716388</c:v>
                </c:pt>
                <c:pt idx="19">
                  <c:v>-225.46312277163878</c:v>
                </c:pt>
                <c:pt idx="20">
                  <c:v>-204.5631227716388</c:v>
                </c:pt>
                <c:pt idx="21">
                  <c:v>-184.76312277163879</c:v>
                </c:pt>
                <c:pt idx="22">
                  <c:v>-165.96312277163884</c:v>
                </c:pt>
                <c:pt idx="23">
                  <c:v>-148.31312277163875</c:v>
                </c:pt>
                <c:pt idx="24">
                  <c:v>-131.86312277163881</c:v>
                </c:pt>
                <c:pt idx="25">
                  <c:v>-116.56312277163875</c:v>
                </c:pt>
                <c:pt idx="26">
                  <c:v>-102.51312277163879</c:v>
                </c:pt>
                <c:pt idx="27">
                  <c:v>-89.663122771638768</c:v>
                </c:pt>
                <c:pt idx="28">
                  <c:v>-78.113122771638814</c:v>
                </c:pt>
                <c:pt idx="29">
                  <c:v>-67.913122771638768</c:v>
                </c:pt>
                <c:pt idx="30">
                  <c:v>-58.963122771638837</c:v>
                </c:pt>
                <c:pt idx="31">
                  <c:v>-51.413122771638768</c:v>
                </c:pt>
                <c:pt idx="32">
                  <c:v>-45.213122771638837</c:v>
                </c:pt>
                <c:pt idx="33">
                  <c:v>-40.363122771638814</c:v>
                </c:pt>
                <c:pt idx="34">
                  <c:v>-36.863122771638814</c:v>
                </c:pt>
                <c:pt idx="35">
                  <c:v>-34.763122771638791</c:v>
                </c:pt>
                <c:pt idx="36">
                  <c:v>-34.113122771638814</c:v>
                </c:pt>
                <c:pt idx="37">
                  <c:v>816.8990420115814</c:v>
                </c:pt>
                <c:pt idx="38">
                  <c:v>812.69904201158135</c:v>
                </c:pt>
                <c:pt idx="39">
                  <c:v>805.69904201158135</c:v>
                </c:pt>
                <c:pt idx="40">
                  <c:v>796.09904201158145</c:v>
                </c:pt>
                <c:pt idx="41">
                  <c:v>783.59904201158145</c:v>
                </c:pt>
                <c:pt idx="42">
                  <c:v>768.49904201158131</c:v>
                </c:pt>
                <c:pt idx="43">
                  <c:v>750.69904201158135</c:v>
                </c:pt>
                <c:pt idx="44">
                  <c:v>730.19904201158135</c:v>
                </c:pt>
                <c:pt idx="45">
                  <c:v>707.09904201158145</c:v>
                </c:pt>
                <c:pt idx="46">
                  <c:v>681.49904201158131</c:v>
                </c:pt>
                <c:pt idx="47">
                  <c:v>653.29904201158149</c:v>
                </c:pt>
                <c:pt idx="48">
                  <c:v>622.79904201158149</c:v>
                </c:pt>
                <c:pt idx="49">
                  <c:v>589.79904201158149</c:v>
                </c:pt>
                <c:pt idx="50">
                  <c:v>554.49904201158131</c:v>
                </c:pt>
                <c:pt idx="51">
                  <c:v>516.99904201158131</c:v>
                </c:pt>
                <c:pt idx="52">
                  <c:v>477.29904201158138</c:v>
                </c:pt>
                <c:pt idx="53">
                  <c:v>435.49904201158142</c:v>
                </c:pt>
                <c:pt idx="54">
                  <c:v>391.79904201158138</c:v>
                </c:pt>
                <c:pt idx="55">
                  <c:v>346.19904201158135</c:v>
                </c:pt>
                <c:pt idx="56">
                  <c:v>298.79904201158138</c:v>
                </c:pt>
                <c:pt idx="57">
                  <c:v>249.79904201158138</c:v>
                </c:pt>
                <c:pt idx="58">
                  <c:v>199.19904201158135</c:v>
                </c:pt>
                <c:pt idx="59">
                  <c:v>147.19904201158135</c:v>
                </c:pt>
                <c:pt idx="60">
                  <c:v>93.8990420115814</c:v>
                </c:pt>
                <c:pt idx="61">
                  <c:v>39.599042011581446</c:v>
                </c:pt>
                <c:pt idx="62">
                  <c:v>-15.700957988418622</c:v>
                </c:pt>
                <c:pt idx="63">
                  <c:v>-71.6009579884186</c:v>
                </c:pt>
                <c:pt idx="64">
                  <c:v>-128.1009579884186</c:v>
                </c:pt>
                <c:pt idx="65">
                  <c:v>-184.6009579884186</c:v>
                </c:pt>
                <c:pt idx="66">
                  <c:v>282.7</c:v>
                </c:pt>
                <c:pt idx="67">
                  <c:v>227.1</c:v>
                </c:pt>
                <c:pt idx="68">
                  <c:v>173.2</c:v>
                </c:pt>
                <c:pt idx="69">
                  <c:v>121.9</c:v>
                </c:pt>
                <c:pt idx="70">
                  <c:v>75.099999999999994</c:v>
                </c:pt>
                <c:pt idx="71">
                  <c:v>36</c:v>
                </c:pt>
                <c:pt idx="72">
                  <c:v>9.8000000000000007</c:v>
                </c:pt>
                <c:pt idx="73">
                  <c:v>5.88</c:v>
                </c:pt>
                <c:pt idx="74">
                  <c:v>21.599999999999998</c:v>
                </c:pt>
                <c:pt idx="75">
                  <c:v>45.059999999999995</c:v>
                </c:pt>
                <c:pt idx="76">
                  <c:v>73.08</c:v>
                </c:pt>
                <c:pt idx="77">
                  <c:v>103.86</c:v>
                </c:pt>
                <c:pt idx="78">
                  <c:v>136.26</c:v>
                </c:pt>
                <c:pt idx="79">
                  <c:v>169.56</c:v>
                </c:pt>
                <c:pt idx="80">
                  <c:v>203.33999999999997</c:v>
                </c:pt>
                <c:pt idx="81">
                  <c:v>237.29999999999998</c:v>
                </c:pt>
                <c:pt idx="82">
                  <c:v>271.14</c:v>
                </c:pt>
                <c:pt idx="83">
                  <c:v>304.73999999999995</c:v>
                </c:pt>
                <c:pt idx="84">
                  <c:v>337.86</c:v>
                </c:pt>
                <c:pt idx="85">
                  <c:v>-153.1009579884186</c:v>
                </c:pt>
                <c:pt idx="86">
                  <c:v>-121.18095798841858</c:v>
                </c:pt>
                <c:pt idx="87">
                  <c:v>-89.980957988418595</c:v>
                </c:pt>
                <c:pt idx="88">
                  <c:v>-59.620957988418638</c:v>
                </c:pt>
                <c:pt idx="89">
                  <c:v>-30.160957988418659</c:v>
                </c:pt>
                <c:pt idx="90">
                  <c:v>-1.7209579884186041</c:v>
                </c:pt>
                <c:pt idx="91">
                  <c:v>25.639042011581409</c:v>
                </c:pt>
                <c:pt idx="92">
                  <c:v>51.859042011581437</c:v>
                </c:pt>
                <c:pt idx="93">
                  <c:v>76.939042011581364</c:v>
                </c:pt>
                <c:pt idx="94">
                  <c:v>100.69904201158135</c:v>
                </c:pt>
                <c:pt idx="95">
                  <c:v>123.2590420115813</c:v>
                </c:pt>
                <c:pt idx="96">
                  <c:v>144.43904201158148</c:v>
                </c:pt>
                <c:pt idx="97">
                  <c:v>164.17904201158137</c:v>
                </c:pt>
                <c:pt idx="98">
                  <c:v>182.53904201158139</c:v>
                </c:pt>
                <c:pt idx="99">
                  <c:v>-88.625629104970699</c:v>
                </c:pt>
                <c:pt idx="100">
                  <c:v>-73.20562910497074</c:v>
                </c:pt>
                <c:pt idx="101">
                  <c:v>-59.345629104970726</c:v>
                </c:pt>
                <c:pt idx="102">
                  <c:v>-47.105629104970717</c:v>
                </c:pt>
                <c:pt idx="103">
                  <c:v>-36.365629104970822</c:v>
                </c:pt>
                <c:pt idx="104">
                  <c:v>-27.305629104970649</c:v>
                </c:pt>
                <c:pt idx="105">
                  <c:v>-19.865629104970822</c:v>
                </c:pt>
                <c:pt idx="106">
                  <c:v>-14.045629104970772</c:v>
                </c:pt>
                <c:pt idx="107">
                  <c:v>-9.8456291049707261</c:v>
                </c:pt>
                <c:pt idx="108">
                  <c:v>-7.3256291049707443</c:v>
                </c:pt>
                <c:pt idx="109">
                  <c:v>-6.5456291049707716</c:v>
                </c:pt>
                <c:pt idx="110">
                  <c:v>-7.3256291049707443</c:v>
                </c:pt>
                <c:pt idx="111">
                  <c:v>-9.8456291049707261</c:v>
                </c:pt>
                <c:pt idx="112">
                  <c:v>-14.045629104970772</c:v>
                </c:pt>
                <c:pt idx="113">
                  <c:v>-19.805629104970649</c:v>
                </c:pt>
                <c:pt idx="114">
                  <c:v>-27.305629104970649</c:v>
                </c:pt>
                <c:pt idx="115">
                  <c:v>-36.365629104970822</c:v>
                </c:pt>
                <c:pt idx="116">
                  <c:v>-47.045629104970772</c:v>
                </c:pt>
                <c:pt idx="117">
                  <c:v>-59.345629104970726</c:v>
                </c:pt>
                <c:pt idx="118">
                  <c:v>-73.20562910497074</c:v>
                </c:pt>
                <c:pt idx="119">
                  <c:v>-88.565629104970753</c:v>
                </c:pt>
                <c:pt idx="120">
                  <c:v>-105.48562910497071</c:v>
                </c:pt>
                <c:pt idx="121">
                  <c:v>-123.78562910497067</c:v>
                </c:pt>
                <c:pt idx="122">
                  <c:v>-143.58562910497062</c:v>
                </c:pt>
                <c:pt idx="123">
                  <c:v>-164.7656291049708</c:v>
                </c:pt>
                <c:pt idx="124">
                  <c:v>-187.2656291049708</c:v>
                </c:pt>
                <c:pt idx="125">
                  <c:v>-211.08562910497074</c:v>
                </c:pt>
                <c:pt idx="126">
                  <c:v>-236.16562910497066</c:v>
                </c:pt>
                <c:pt idx="127">
                  <c:v>-262.38562910497069</c:v>
                </c:pt>
                <c:pt idx="128">
                  <c:v>-289.7456291049707</c:v>
                </c:pt>
                <c:pt idx="129">
                  <c:v>-318.18562910497076</c:v>
                </c:pt>
                <c:pt idx="130">
                  <c:v>-347.58562910497074</c:v>
                </c:pt>
                <c:pt idx="131">
                  <c:v>-377.94562910497075</c:v>
                </c:pt>
                <c:pt idx="132">
                  <c:v>-409.14562910497074</c:v>
                </c:pt>
                <c:pt idx="133">
                  <c:v>-441.1256291049707</c:v>
                </c:pt>
                <c:pt idx="134">
                  <c:v>-473.70562910497068</c:v>
                </c:pt>
                <c:pt idx="135">
                  <c:v>-506.88562910497075</c:v>
                </c:pt>
                <c:pt idx="136">
                  <c:v>-540.42562910497077</c:v>
                </c:pt>
                <c:pt idx="137">
                  <c:v>-574.32562910497074</c:v>
                </c:pt>
                <c:pt idx="138">
                  <c:v>-608.22562910497072</c:v>
                </c:pt>
                <c:pt idx="139">
                  <c:v>-642.00562910497069</c:v>
                </c:pt>
                <c:pt idx="140">
                  <c:v>136.26</c:v>
                </c:pt>
                <c:pt idx="141">
                  <c:v>103.91999999999999</c:v>
                </c:pt>
                <c:pt idx="142">
                  <c:v>73.14</c:v>
                </c:pt>
                <c:pt idx="143">
                  <c:v>45.059999999999995</c:v>
                </c:pt>
                <c:pt idx="144">
                  <c:v>21.599999999999998</c:v>
                </c:pt>
                <c:pt idx="145">
                  <c:v>5.88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BA02-4D4B-B79E-D53997F0B2C0}"/>
            </c:ext>
          </c:extLst>
        </c:ser>
        <c:ser>
          <c:idx val="2"/>
          <c:order val="2"/>
          <c:tx>
            <c:strRef>
              <c:f>Main_Day1_2!$N$5</c:f>
              <c:strCache>
                <c:ptCount val="1"/>
                <c:pt idx="0">
                  <c:v>Ps[W]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Main_Day1_2!$K$6:$K$157</c:f>
              <c:numCache>
                <c:formatCode>yyyy/m/d\ h:mm;@</c:formatCode>
                <c:ptCount val="152"/>
                <c:pt idx="0">
                  <c:v>43751.25</c:v>
                </c:pt>
                <c:pt idx="1">
                  <c:v>43751.256944444445</c:v>
                </c:pt>
                <c:pt idx="2">
                  <c:v>43751.263888888891</c:v>
                </c:pt>
                <c:pt idx="3">
                  <c:v>43751.270833333336</c:v>
                </c:pt>
                <c:pt idx="4">
                  <c:v>43751.277777777781</c:v>
                </c:pt>
                <c:pt idx="5">
                  <c:v>43751.284722222219</c:v>
                </c:pt>
                <c:pt idx="6">
                  <c:v>43751.291666666664</c:v>
                </c:pt>
                <c:pt idx="7">
                  <c:v>43751.298611111109</c:v>
                </c:pt>
                <c:pt idx="8">
                  <c:v>43751.305555555555</c:v>
                </c:pt>
                <c:pt idx="9">
                  <c:v>43751.3125</c:v>
                </c:pt>
                <c:pt idx="10">
                  <c:v>43751.319444444445</c:v>
                </c:pt>
                <c:pt idx="11">
                  <c:v>43751.326388888891</c:v>
                </c:pt>
                <c:pt idx="12">
                  <c:v>43751.333333333336</c:v>
                </c:pt>
                <c:pt idx="13">
                  <c:v>43751.340277777781</c:v>
                </c:pt>
                <c:pt idx="14">
                  <c:v>43751.347222222219</c:v>
                </c:pt>
                <c:pt idx="15">
                  <c:v>43751.354166666664</c:v>
                </c:pt>
                <c:pt idx="16">
                  <c:v>43751.361111111109</c:v>
                </c:pt>
                <c:pt idx="17">
                  <c:v>43751.368055555555</c:v>
                </c:pt>
                <c:pt idx="18">
                  <c:v>43751.375</c:v>
                </c:pt>
                <c:pt idx="19">
                  <c:v>43751.381944444445</c:v>
                </c:pt>
                <c:pt idx="20">
                  <c:v>43751.388888888891</c:v>
                </c:pt>
                <c:pt idx="21">
                  <c:v>43751.395833333336</c:v>
                </c:pt>
                <c:pt idx="22">
                  <c:v>43751.402777777781</c:v>
                </c:pt>
                <c:pt idx="23">
                  <c:v>43751.409722222219</c:v>
                </c:pt>
                <c:pt idx="24">
                  <c:v>43751.416666666664</c:v>
                </c:pt>
                <c:pt idx="25">
                  <c:v>43751.423611111109</c:v>
                </c:pt>
                <c:pt idx="26">
                  <c:v>43751.430555555555</c:v>
                </c:pt>
                <c:pt idx="27">
                  <c:v>43751.4375</c:v>
                </c:pt>
                <c:pt idx="28">
                  <c:v>43751.444444444445</c:v>
                </c:pt>
                <c:pt idx="29">
                  <c:v>43751.451388888891</c:v>
                </c:pt>
                <c:pt idx="30">
                  <c:v>43751.458333333336</c:v>
                </c:pt>
                <c:pt idx="31">
                  <c:v>43751.465277777781</c:v>
                </c:pt>
                <c:pt idx="32">
                  <c:v>43751.472222222219</c:v>
                </c:pt>
                <c:pt idx="33">
                  <c:v>43751.479166666664</c:v>
                </c:pt>
                <c:pt idx="34">
                  <c:v>43751.486111111109</c:v>
                </c:pt>
                <c:pt idx="35">
                  <c:v>43751.493055555555</c:v>
                </c:pt>
                <c:pt idx="36">
                  <c:v>43751.5</c:v>
                </c:pt>
                <c:pt idx="37">
                  <c:v>43751.506944444445</c:v>
                </c:pt>
                <c:pt idx="38">
                  <c:v>43751.513888888891</c:v>
                </c:pt>
                <c:pt idx="39">
                  <c:v>43751.520833333336</c:v>
                </c:pt>
                <c:pt idx="40">
                  <c:v>43751.527777777781</c:v>
                </c:pt>
                <c:pt idx="41">
                  <c:v>43751.534722222219</c:v>
                </c:pt>
                <c:pt idx="42">
                  <c:v>43751.541666666664</c:v>
                </c:pt>
                <c:pt idx="43">
                  <c:v>43751.548611111109</c:v>
                </c:pt>
                <c:pt idx="44">
                  <c:v>43751.555555555555</c:v>
                </c:pt>
                <c:pt idx="45">
                  <c:v>43751.5625</c:v>
                </c:pt>
                <c:pt idx="46">
                  <c:v>43751.569444444445</c:v>
                </c:pt>
                <c:pt idx="47">
                  <c:v>43751.576388888891</c:v>
                </c:pt>
                <c:pt idx="48">
                  <c:v>43751.583333333336</c:v>
                </c:pt>
                <c:pt idx="49">
                  <c:v>43751.590277777781</c:v>
                </c:pt>
                <c:pt idx="50">
                  <c:v>43751.597222222219</c:v>
                </c:pt>
                <c:pt idx="51">
                  <c:v>43751.604166666664</c:v>
                </c:pt>
                <c:pt idx="52">
                  <c:v>43751.611111111109</c:v>
                </c:pt>
                <c:pt idx="53">
                  <c:v>43751.618055555555</c:v>
                </c:pt>
                <c:pt idx="54">
                  <c:v>43751.625</c:v>
                </c:pt>
                <c:pt idx="55">
                  <c:v>43751.631944444445</c:v>
                </c:pt>
                <c:pt idx="56">
                  <c:v>43751.638888888891</c:v>
                </c:pt>
                <c:pt idx="57">
                  <c:v>43751.645833333336</c:v>
                </c:pt>
                <c:pt idx="58">
                  <c:v>43751.652777777781</c:v>
                </c:pt>
                <c:pt idx="59">
                  <c:v>43751.659722222219</c:v>
                </c:pt>
                <c:pt idx="60">
                  <c:v>43751.666666666664</c:v>
                </c:pt>
                <c:pt idx="61">
                  <c:v>43751.673611111109</c:v>
                </c:pt>
                <c:pt idx="62">
                  <c:v>43751.680555555555</c:v>
                </c:pt>
                <c:pt idx="63">
                  <c:v>43751.6875</c:v>
                </c:pt>
                <c:pt idx="64">
                  <c:v>43751.694444444445</c:v>
                </c:pt>
                <c:pt idx="65">
                  <c:v>43751.701388888891</c:v>
                </c:pt>
                <c:pt idx="66">
                  <c:v>43751.708333333336</c:v>
                </c:pt>
                <c:pt idx="67">
                  <c:v>43751.715277777781</c:v>
                </c:pt>
                <c:pt idx="68">
                  <c:v>43751.722222222219</c:v>
                </c:pt>
                <c:pt idx="69">
                  <c:v>43751.729166666664</c:v>
                </c:pt>
                <c:pt idx="70">
                  <c:v>43751.736111111109</c:v>
                </c:pt>
                <c:pt idx="71">
                  <c:v>43751.743055555555</c:v>
                </c:pt>
                <c:pt idx="72">
                  <c:v>43751.75</c:v>
                </c:pt>
                <c:pt idx="73" formatCode="m/d/yyyy\ h:mm">
                  <c:v>43752.25</c:v>
                </c:pt>
                <c:pt idx="74" formatCode="m/d/yyyy\ h:mm">
                  <c:v>43752.256944444445</c:v>
                </c:pt>
                <c:pt idx="75" formatCode="m/d/yyyy\ h:mm">
                  <c:v>43752.263888888891</c:v>
                </c:pt>
                <c:pt idx="76" formatCode="m/d/yyyy\ h:mm">
                  <c:v>43752.270833333336</c:v>
                </c:pt>
                <c:pt idx="77" formatCode="m/d/yyyy\ h:mm">
                  <c:v>43752.277777777781</c:v>
                </c:pt>
                <c:pt idx="78" formatCode="m/d/yyyy\ h:mm">
                  <c:v>43752.284722222219</c:v>
                </c:pt>
                <c:pt idx="79" formatCode="m/d/yyyy\ h:mm">
                  <c:v>43752.291666666664</c:v>
                </c:pt>
                <c:pt idx="80" formatCode="m/d/yyyy\ h:mm">
                  <c:v>43752.298611111109</c:v>
                </c:pt>
                <c:pt idx="81" formatCode="m/d/yyyy\ h:mm">
                  <c:v>43752.305555555555</c:v>
                </c:pt>
                <c:pt idx="82" formatCode="m/d/yyyy\ h:mm">
                  <c:v>43752.3125</c:v>
                </c:pt>
                <c:pt idx="83" formatCode="m/d/yyyy\ h:mm">
                  <c:v>43752.319444444445</c:v>
                </c:pt>
                <c:pt idx="84" formatCode="m/d/yyyy\ h:mm">
                  <c:v>43752.326388888891</c:v>
                </c:pt>
                <c:pt idx="85" formatCode="m/d/yyyy\ h:mm">
                  <c:v>43752.333333333336</c:v>
                </c:pt>
                <c:pt idx="86" formatCode="m/d/yyyy\ h:mm">
                  <c:v>43752.340277777781</c:v>
                </c:pt>
                <c:pt idx="87" formatCode="m/d/yyyy\ h:mm">
                  <c:v>43752.347222222219</c:v>
                </c:pt>
                <c:pt idx="88" formatCode="m/d/yyyy\ h:mm">
                  <c:v>43752.354166666664</c:v>
                </c:pt>
                <c:pt idx="89" formatCode="m/d/yyyy\ h:mm">
                  <c:v>43752.361111111109</c:v>
                </c:pt>
                <c:pt idx="90" formatCode="m/d/yyyy\ h:mm">
                  <c:v>43752.368055555555</c:v>
                </c:pt>
                <c:pt idx="91" formatCode="m/d/yyyy\ h:mm">
                  <c:v>43752.375</c:v>
                </c:pt>
                <c:pt idx="92" formatCode="m/d/yyyy\ h:mm">
                  <c:v>43752.381944444445</c:v>
                </c:pt>
                <c:pt idx="93" formatCode="m/d/yyyy\ h:mm">
                  <c:v>43752.388888888891</c:v>
                </c:pt>
                <c:pt idx="94" formatCode="m/d/yyyy\ h:mm">
                  <c:v>43752.395833333336</c:v>
                </c:pt>
                <c:pt idx="95" formatCode="m/d/yyyy\ h:mm">
                  <c:v>43752.402777777781</c:v>
                </c:pt>
                <c:pt idx="96" formatCode="m/d/yyyy\ h:mm">
                  <c:v>43752.409722222219</c:v>
                </c:pt>
                <c:pt idx="97" formatCode="m/d/yyyy\ h:mm">
                  <c:v>43752.416666666664</c:v>
                </c:pt>
                <c:pt idx="98" formatCode="m/d/yyyy\ h:mm">
                  <c:v>43752.423611111109</c:v>
                </c:pt>
                <c:pt idx="99" formatCode="m/d/yyyy\ h:mm">
                  <c:v>43752.430555555555</c:v>
                </c:pt>
                <c:pt idx="100" formatCode="m/d/yyyy\ h:mm">
                  <c:v>43752.4375</c:v>
                </c:pt>
                <c:pt idx="101" formatCode="m/d/yyyy\ h:mm">
                  <c:v>43752.444444444445</c:v>
                </c:pt>
                <c:pt idx="102" formatCode="m/d/yyyy\ h:mm">
                  <c:v>43752.451388888891</c:v>
                </c:pt>
                <c:pt idx="103" formatCode="m/d/yyyy\ h:mm">
                  <c:v>43752.458333333336</c:v>
                </c:pt>
                <c:pt idx="104" formatCode="m/d/yyyy\ h:mm">
                  <c:v>43752.465277777781</c:v>
                </c:pt>
                <c:pt idx="105" formatCode="m/d/yyyy\ h:mm">
                  <c:v>43752.472222222219</c:v>
                </c:pt>
                <c:pt idx="106" formatCode="m/d/yyyy\ h:mm">
                  <c:v>43752.479166666664</c:v>
                </c:pt>
                <c:pt idx="107" formatCode="m/d/yyyy\ h:mm">
                  <c:v>43752.486111111109</c:v>
                </c:pt>
                <c:pt idx="108" formatCode="m/d/yyyy\ h:mm">
                  <c:v>43752.493055555555</c:v>
                </c:pt>
                <c:pt idx="109" formatCode="m/d/yyyy\ h:mm">
                  <c:v>43752.5</c:v>
                </c:pt>
                <c:pt idx="110" formatCode="m/d/yyyy\ h:mm">
                  <c:v>43752.506944444445</c:v>
                </c:pt>
                <c:pt idx="111" formatCode="m/d/yyyy\ h:mm">
                  <c:v>43752.513888888891</c:v>
                </c:pt>
                <c:pt idx="112" formatCode="m/d/yyyy\ h:mm">
                  <c:v>43752.520833333336</c:v>
                </c:pt>
                <c:pt idx="113" formatCode="m/d/yyyy\ h:mm">
                  <c:v>43752.527777777781</c:v>
                </c:pt>
                <c:pt idx="114" formatCode="m/d/yyyy\ h:mm">
                  <c:v>43752.534722222219</c:v>
                </c:pt>
                <c:pt idx="115" formatCode="m/d/yyyy\ h:mm">
                  <c:v>43752.541666666664</c:v>
                </c:pt>
                <c:pt idx="116" formatCode="m/d/yyyy\ h:mm">
                  <c:v>43752.548611111109</c:v>
                </c:pt>
                <c:pt idx="117" formatCode="m/d/yyyy\ h:mm">
                  <c:v>43752.555555555555</c:v>
                </c:pt>
                <c:pt idx="118" formatCode="m/d/yyyy\ h:mm">
                  <c:v>43752.5625</c:v>
                </c:pt>
                <c:pt idx="119" formatCode="m/d/yyyy\ h:mm">
                  <c:v>43752.569444444445</c:v>
                </c:pt>
                <c:pt idx="120" formatCode="m/d/yyyy\ h:mm">
                  <c:v>43752.576388888891</c:v>
                </c:pt>
                <c:pt idx="121" formatCode="m/d/yyyy\ h:mm">
                  <c:v>43752.583333333336</c:v>
                </c:pt>
                <c:pt idx="122" formatCode="m/d/yyyy\ h:mm">
                  <c:v>43752.590277777781</c:v>
                </c:pt>
                <c:pt idx="123" formatCode="m/d/yyyy\ h:mm">
                  <c:v>43752.597222222219</c:v>
                </c:pt>
                <c:pt idx="124" formatCode="m/d/yyyy\ h:mm">
                  <c:v>43752.604166666664</c:v>
                </c:pt>
                <c:pt idx="125" formatCode="m/d/yyyy\ h:mm">
                  <c:v>43752.611111111109</c:v>
                </c:pt>
                <c:pt idx="126" formatCode="m/d/yyyy\ h:mm">
                  <c:v>43752.618055555555</c:v>
                </c:pt>
                <c:pt idx="127" formatCode="m/d/yyyy\ h:mm">
                  <c:v>43752.625</c:v>
                </c:pt>
                <c:pt idx="128" formatCode="m/d/yyyy\ h:mm">
                  <c:v>43752.631944444445</c:v>
                </c:pt>
                <c:pt idx="129" formatCode="m/d/yyyy\ h:mm">
                  <c:v>43752.638888888891</c:v>
                </c:pt>
                <c:pt idx="130" formatCode="m/d/yyyy\ h:mm">
                  <c:v>43752.645833333336</c:v>
                </c:pt>
                <c:pt idx="131" formatCode="m/d/yyyy\ h:mm">
                  <c:v>43752.652777777781</c:v>
                </c:pt>
                <c:pt idx="132" formatCode="m/d/yyyy\ h:mm">
                  <c:v>43752.659722222219</c:v>
                </c:pt>
                <c:pt idx="133" formatCode="m/d/yyyy\ h:mm">
                  <c:v>43752.666666666664</c:v>
                </c:pt>
                <c:pt idx="134" formatCode="m/d/yyyy\ h:mm">
                  <c:v>43752.673611111109</c:v>
                </c:pt>
                <c:pt idx="135" formatCode="m/d/yyyy\ h:mm">
                  <c:v>43752.680555555555</c:v>
                </c:pt>
                <c:pt idx="136" formatCode="m/d/yyyy\ h:mm">
                  <c:v>43752.6875</c:v>
                </c:pt>
                <c:pt idx="137" formatCode="m/d/yyyy\ h:mm">
                  <c:v>43752.694444444445</c:v>
                </c:pt>
                <c:pt idx="138" formatCode="m/d/yyyy\ h:mm">
                  <c:v>43752.701388888891</c:v>
                </c:pt>
                <c:pt idx="139" formatCode="m/d/yyyy\ h:mm">
                  <c:v>43752.708333333336</c:v>
                </c:pt>
                <c:pt idx="140" formatCode="m/d/yyyy\ h:mm">
                  <c:v>43752.715277777781</c:v>
                </c:pt>
                <c:pt idx="141" formatCode="m/d/yyyy\ h:mm">
                  <c:v>43752.722222222219</c:v>
                </c:pt>
                <c:pt idx="142" formatCode="m/d/yyyy\ h:mm">
                  <c:v>43752.729166666664</c:v>
                </c:pt>
                <c:pt idx="143" formatCode="m/d/yyyy\ h:mm">
                  <c:v>43752.736111111109</c:v>
                </c:pt>
                <c:pt idx="144" formatCode="m/d/yyyy\ h:mm">
                  <c:v>43752.743055555555</c:v>
                </c:pt>
                <c:pt idx="145" formatCode="m/d/yyyy\ h:mm">
                  <c:v>43752.75</c:v>
                </c:pt>
                <c:pt idx="146" formatCode="m/d/yyyy\ h:mm">
                  <c:v>43752.756944444445</c:v>
                </c:pt>
                <c:pt idx="147" formatCode="m/d/yyyy\ h:mm">
                  <c:v>43752.763888888891</c:v>
                </c:pt>
                <c:pt idx="148" formatCode="m/d/yyyy\ h:mm">
                  <c:v>43752.770833333336</c:v>
                </c:pt>
                <c:pt idx="149" formatCode="m/d/yyyy\ h:mm">
                  <c:v>43752.777777777781</c:v>
                </c:pt>
                <c:pt idx="150" formatCode="m/d/yyyy\ h:mm">
                  <c:v>43752.784722222219</c:v>
                </c:pt>
                <c:pt idx="151" formatCode="m/d/yyyy\ h:mm">
                  <c:v>43752.791666666664</c:v>
                </c:pt>
              </c:numCache>
            </c:numRef>
          </c:xVal>
          <c:yVal>
            <c:numRef>
              <c:f>Main_Day1_2!$N$6:$N$157</c:f>
              <c:numCache>
                <c:formatCode>General</c:formatCode>
                <c:ptCount val="152"/>
                <c:pt idx="0">
                  <c:v>4.9000000000000004</c:v>
                </c:pt>
                <c:pt idx="1">
                  <c:v>18</c:v>
                </c:pt>
                <c:pt idx="2">
                  <c:v>37.549999999999997</c:v>
                </c:pt>
                <c:pt idx="3">
                  <c:v>60.9</c:v>
                </c:pt>
                <c:pt idx="4">
                  <c:v>86.55</c:v>
                </c:pt>
                <c:pt idx="5">
                  <c:v>113.55</c:v>
                </c:pt>
                <c:pt idx="6">
                  <c:v>141.30000000000001</c:v>
                </c:pt>
                <c:pt idx="7">
                  <c:v>169.45</c:v>
                </c:pt>
                <c:pt idx="8">
                  <c:v>197.75</c:v>
                </c:pt>
                <c:pt idx="9">
                  <c:v>225.95</c:v>
                </c:pt>
                <c:pt idx="10">
                  <c:v>253.95</c:v>
                </c:pt>
                <c:pt idx="11">
                  <c:v>281.55</c:v>
                </c:pt>
                <c:pt idx="12">
                  <c:v>308.75</c:v>
                </c:pt>
                <c:pt idx="13">
                  <c:v>335.35</c:v>
                </c:pt>
                <c:pt idx="14">
                  <c:v>361.35</c:v>
                </c:pt>
                <c:pt idx="15">
                  <c:v>386.65</c:v>
                </c:pt>
                <c:pt idx="16">
                  <c:v>411.2</c:v>
                </c:pt>
                <c:pt idx="17">
                  <c:v>434.9</c:v>
                </c:pt>
                <c:pt idx="18">
                  <c:v>457.7</c:v>
                </c:pt>
                <c:pt idx="19">
                  <c:v>479.55</c:v>
                </c:pt>
                <c:pt idx="20">
                  <c:v>500.45</c:v>
                </c:pt>
                <c:pt idx="21">
                  <c:v>520.25</c:v>
                </c:pt>
                <c:pt idx="22">
                  <c:v>539.04999999999995</c:v>
                </c:pt>
                <c:pt idx="23">
                  <c:v>556.70000000000005</c:v>
                </c:pt>
                <c:pt idx="24">
                  <c:v>573.15</c:v>
                </c:pt>
                <c:pt idx="25">
                  <c:v>588.45000000000005</c:v>
                </c:pt>
                <c:pt idx="26">
                  <c:v>602.5</c:v>
                </c:pt>
                <c:pt idx="27">
                  <c:v>615.35</c:v>
                </c:pt>
                <c:pt idx="28">
                  <c:v>626.9</c:v>
                </c:pt>
                <c:pt idx="29">
                  <c:v>637.1</c:v>
                </c:pt>
                <c:pt idx="30">
                  <c:v>646.04999999999995</c:v>
                </c:pt>
                <c:pt idx="31">
                  <c:v>653.6</c:v>
                </c:pt>
                <c:pt idx="32">
                  <c:v>659.8</c:v>
                </c:pt>
                <c:pt idx="33">
                  <c:v>664.65</c:v>
                </c:pt>
                <c:pt idx="34">
                  <c:v>668.15</c:v>
                </c:pt>
                <c:pt idx="35">
                  <c:v>670.25</c:v>
                </c:pt>
                <c:pt idx="36">
                  <c:v>670.9</c:v>
                </c:pt>
                <c:pt idx="37">
                  <c:v>1340.5</c:v>
                </c:pt>
                <c:pt idx="38">
                  <c:v>1336.3</c:v>
                </c:pt>
                <c:pt idx="39">
                  <c:v>1329.3</c:v>
                </c:pt>
                <c:pt idx="40">
                  <c:v>1319.7</c:v>
                </c:pt>
                <c:pt idx="41">
                  <c:v>1307.2</c:v>
                </c:pt>
                <c:pt idx="42">
                  <c:v>1292.0999999999999</c:v>
                </c:pt>
                <c:pt idx="43">
                  <c:v>1274.3</c:v>
                </c:pt>
                <c:pt idx="44">
                  <c:v>1253.8</c:v>
                </c:pt>
                <c:pt idx="45">
                  <c:v>1230.7</c:v>
                </c:pt>
                <c:pt idx="46">
                  <c:v>1205.0999999999999</c:v>
                </c:pt>
                <c:pt idx="47">
                  <c:v>1176.9000000000001</c:v>
                </c:pt>
                <c:pt idx="48">
                  <c:v>1146.4000000000001</c:v>
                </c:pt>
                <c:pt idx="49">
                  <c:v>1113.4000000000001</c:v>
                </c:pt>
                <c:pt idx="50">
                  <c:v>1078.0999999999999</c:v>
                </c:pt>
                <c:pt idx="51">
                  <c:v>1040.5999999999999</c:v>
                </c:pt>
                <c:pt idx="52">
                  <c:v>1000.9</c:v>
                </c:pt>
                <c:pt idx="53">
                  <c:v>959.1</c:v>
                </c:pt>
                <c:pt idx="54">
                  <c:v>915.4</c:v>
                </c:pt>
                <c:pt idx="55">
                  <c:v>869.8</c:v>
                </c:pt>
                <c:pt idx="56">
                  <c:v>822.4</c:v>
                </c:pt>
                <c:pt idx="57">
                  <c:v>773.4</c:v>
                </c:pt>
                <c:pt idx="58">
                  <c:v>722.8</c:v>
                </c:pt>
                <c:pt idx="59">
                  <c:v>670.8</c:v>
                </c:pt>
                <c:pt idx="60">
                  <c:v>617.5</c:v>
                </c:pt>
                <c:pt idx="61">
                  <c:v>563.20000000000005</c:v>
                </c:pt>
                <c:pt idx="62">
                  <c:v>507.9</c:v>
                </c:pt>
                <c:pt idx="63">
                  <c:v>452</c:v>
                </c:pt>
                <c:pt idx="64">
                  <c:v>395.5</c:v>
                </c:pt>
                <c:pt idx="65">
                  <c:v>339</c:v>
                </c:pt>
                <c:pt idx="66">
                  <c:v>282.7</c:v>
                </c:pt>
                <c:pt idx="67">
                  <c:v>227.1</c:v>
                </c:pt>
                <c:pt idx="68">
                  <c:v>173.2</c:v>
                </c:pt>
                <c:pt idx="69">
                  <c:v>121.9</c:v>
                </c:pt>
                <c:pt idx="70">
                  <c:v>75.099999999999994</c:v>
                </c:pt>
                <c:pt idx="71">
                  <c:v>36</c:v>
                </c:pt>
                <c:pt idx="72">
                  <c:v>9.8000000000000007</c:v>
                </c:pt>
                <c:pt idx="73">
                  <c:v>5.88</c:v>
                </c:pt>
                <c:pt idx="74">
                  <c:v>21.599999999999998</c:v>
                </c:pt>
                <c:pt idx="75">
                  <c:v>45.059999999999995</c:v>
                </c:pt>
                <c:pt idx="76">
                  <c:v>73.08</c:v>
                </c:pt>
                <c:pt idx="77">
                  <c:v>103.86</c:v>
                </c:pt>
                <c:pt idx="78">
                  <c:v>136.26</c:v>
                </c:pt>
                <c:pt idx="79">
                  <c:v>169.56</c:v>
                </c:pt>
                <c:pt idx="80">
                  <c:v>203.33999999999997</c:v>
                </c:pt>
                <c:pt idx="81">
                  <c:v>237.29999999999998</c:v>
                </c:pt>
                <c:pt idx="82">
                  <c:v>271.14</c:v>
                </c:pt>
                <c:pt idx="83">
                  <c:v>304.73999999999995</c:v>
                </c:pt>
                <c:pt idx="84">
                  <c:v>337.86</c:v>
                </c:pt>
                <c:pt idx="85">
                  <c:v>370.5</c:v>
                </c:pt>
                <c:pt idx="86">
                  <c:v>402.42</c:v>
                </c:pt>
                <c:pt idx="87">
                  <c:v>433.62</c:v>
                </c:pt>
                <c:pt idx="88">
                  <c:v>463.97999999999996</c:v>
                </c:pt>
                <c:pt idx="89">
                  <c:v>493.43999999999994</c:v>
                </c:pt>
                <c:pt idx="90">
                  <c:v>521.88</c:v>
                </c:pt>
                <c:pt idx="91">
                  <c:v>549.24</c:v>
                </c:pt>
                <c:pt idx="92">
                  <c:v>575.46</c:v>
                </c:pt>
                <c:pt idx="93">
                  <c:v>600.54</c:v>
                </c:pt>
                <c:pt idx="94">
                  <c:v>624.29999999999995</c:v>
                </c:pt>
                <c:pt idx="95">
                  <c:v>646.8599999999999</c:v>
                </c:pt>
                <c:pt idx="96">
                  <c:v>668.04000000000008</c:v>
                </c:pt>
                <c:pt idx="97">
                  <c:v>687.78</c:v>
                </c:pt>
                <c:pt idx="98">
                  <c:v>706.14</c:v>
                </c:pt>
                <c:pt idx="99">
                  <c:v>723</c:v>
                </c:pt>
                <c:pt idx="100">
                  <c:v>738.42</c:v>
                </c:pt>
                <c:pt idx="101">
                  <c:v>752.28</c:v>
                </c:pt>
                <c:pt idx="102">
                  <c:v>764.52</c:v>
                </c:pt>
                <c:pt idx="103">
                  <c:v>775.25999999999988</c:v>
                </c:pt>
                <c:pt idx="104">
                  <c:v>784.32</c:v>
                </c:pt>
                <c:pt idx="105">
                  <c:v>791.75999999999988</c:v>
                </c:pt>
                <c:pt idx="106">
                  <c:v>797.57999999999993</c:v>
                </c:pt>
                <c:pt idx="107">
                  <c:v>801.78</c:v>
                </c:pt>
                <c:pt idx="108">
                  <c:v>804.3</c:v>
                </c:pt>
                <c:pt idx="109">
                  <c:v>805.07999999999993</c:v>
                </c:pt>
                <c:pt idx="110">
                  <c:v>804.3</c:v>
                </c:pt>
                <c:pt idx="111">
                  <c:v>801.78</c:v>
                </c:pt>
                <c:pt idx="112">
                  <c:v>797.57999999999993</c:v>
                </c:pt>
                <c:pt idx="113">
                  <c:v>791.82</c:v>
                </c:pt>
                <c:pt idx="114">
                  <c:v>784.32</c:v>
                </c:pt>
                <c:pt idx="115">
                  <c:v>775.25999999999988</c:v>
                </c:pt>
                <c:pt idx="116">
                  <c:v>764.57999999999993</c:v>
                </c:pt>
                <c:pt idx="117">
                  <c:v>752.28</c:v>
                </c:pt>
                <c:pt idx="118">
                  <c:v>738.42</c:v>
                </c:pt>
                <c:pt idx="119">
                  <c:v>723.06</c:v>
                </c:pt>
                <c:pt idx="120">
                  <c:v>706.14</c:v>
                </c:pt>
                <c:pt idx="121">
                  <c:v>687.84</c:v>
                </c:pt>
                <c:pt idx="122">
                  <c:v>668.04000000000008</c:v>
                </c:pt>
                <c:pt idx="123">
                  <c:v>646.8599999999999</c:v>
                </c:pt>
                <c:pt idx="124">
                  <c:v>624.3599999999999</c:v>
                </c:pt>
                <c:pt idx="125">
                  <c:v>600.54</c:v>
                </c:pt>
                <c:pt idx="126">
                  <c:v>575.46</c:v>
                </c:pt>
                <c:pt idx="127">
                  <c:v>549.24</c:v>
                </c:pt>
                <c:pt idx="128">
                  <c:v>521.88</c:v>
                </c:pt>
                <c:pt idx="129">
                  <c:v>493.43999999999994</c:v>
                </c:pt>
                <c:pt idx="130">
                  <c:v>464.03999999999996</c:v>
                </c:pt>
                <c:pt idx="131">
                  <c:v>433.67999999999995</c:v>
                </c:pt>
                <c:pt idx="132">
                  <c:v>402.47999999999996</c:v>
                </c:pt>
                <c:pt idx="133">
                  <c:v>370.5</c:v>
                </c:pt>
                <c:pt idx="134">
                  <c:v>337.92</c:v>
                </c:pt>
                <c:pt idx="135">
                  <c:v>304.73999999999995</c:v>
                </c:pt>
                <c:pt idx="136">
                  <c:v>271.2</c:v>
                </c:pt>
                <c:pt idx="137">
                  <c:v>237.29999999999998</c:v>
                </c:pt>
                <c:pt idx="138">
                  <c:v>203.4</c:v>
                </c:pt>
                <c:pt idx="139">
                  <c:v>169.61999999999998</c:v>
                </c:pt>
                <c:pt idx="140">
                  <c:v>136.26</c:v>
                </c:pt>
                <c:pt idx="141">
                  <c:v>103.91999999999999</c:v>
                </c:pt>
                <c:pt idx="142">
                  <c:v>73.14</c:v>
                </c:pt>
                <c:pt idx="143">
                  <c:v>45.059999999999995</c:v>
                </c:pt>
                <c:pt idx="144">
                  <c:v>21.599999999999998</c:v>
                </c:pt>
                <c:pt idx="145">
                  <c:v>5.88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BA02-4D4B-B79E-D53997F0B2C0}"/>
            </c:ext>
          </c:extLst>
        </c:ser>
        <c:ser>
          <c:idx val="3"/>
          <c:order val="3"/>
          <c:tx>
            <c:strRef>
              <c:f>Main_Day1_2!$O$5</c:f>
              <c:strCache>
                <c:ptCount val="1"/>
                <c:pt idx="0">
                  <c:v>PM[W]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Main_Day1_2!$K$6:$K$157</c:f>
              <c:numCache>
                <c:formatCode>yyyy/m/d\ h:mm;@</c:formatCode>
                <c:ptCount val="152"/>
                <c:pt idx="0">
                  <c:v>43751.25</c:v>
                </c:pt>
                <c:pt idx="1">
                  <c:v>43751.256944444445</c:v>
                </c:pt>
                <c:pt idx="2">
                  <c:v>43751.263888888891</c:v>
                </c:pt>
                <c:pt idx="3">
                  <c:v>43751.270833333336</c:v>
                </c:pt>
                <c:pt idx="4">
                  <c:v>43751.277777777781</c:v>
                </c:pt>
                <c:pt idx="5">
                  <c:v>43751.284722222219</c:v>
                </c:pt>
                <c:pt idx="6">
                  <c:v>43751.291666666664</c:v>
                </c:pt>
                <c:pt idx="7">
                  <c:v>43751.298611111109</c:v>
                </c:pt>
                <c:pt idx="8">
                  <c:v>43751.305555555555</c:v>
                </c:pt>
                <c:pt idx="9">
                  <c:v>43751.3125</c:v>
                </c:pt>
                <c:pt idx="10">
                  <c:v>43751.319444444445</c:v>
                </c:pt>
                <c:pt idx="11">
                  <c:v>43751.326388888891</c:v>
                </c:pt>
                <c:pt idx="12">
                  <c:v>43751.333333333336</c:v>
                </c:pt>
                <c:pt idx="13">
                  <c:v>43751.340277777781</c:v>
                </c:pt>
                <c:pt idx="14">
                  <c:v>43751.347222222219</c:v>
                </c:pt>
                <c:pt idx="15">
                  <c:v>43751.354166666664</c:v>
                </c:pt>
                <c:pt idx="16">
                  <c:v>43751.361111111109</c:v>
                </c:pt>
                <c:pt idx="17">
                  <c:v>43751.368055555555</c:v>
                </c:pt>
                <c:pt idx="18">
                  <c:v>43751.375</c:v>
                </c:pt>
                <c:pt idx="19">
                  <c:v>43751.381944444445</c:v>
                </c:pt>
                <c:pt idx="20">
                  <c:v>43751.388888888891</c:v>
                </c:pt>
                <c:pt idx="21">
                  <c:v>43751.395833333336</c:v>
                </c:pt>
                <c:pt idx="22">
                  <c:v>43751.402777777781</c:v>
                </c:pt>
                <c:pt idx="23">
                  <c:v>43751.409722222219</c:v>
                </c:pt>
                <c:pt idx="24">
                  <c:v>43751.416666666664</c:v>
                </c:pt>
                <c:pt idx="25">
                  <c:v>43751.423611111109</c:v>
                </c:pt>
                <c:pt idx="26">
                  <c:v>43751.430555555555</c:v>
                </c:pt>
                <c:pt idx="27">
                  <c:v>43751.4375</c:v>
                </c:pt>
                <c:pt idx="28">
                  <c:v>43751.444444444445</c:v>
                </c:pt>
                <c:pt idx="29">
                  <c:v>43751.451388888891</c:v>
                </c:pt>
                <c:pt idx="30">
                  <c:v>43751.458333333336</c:v>
                </c:pt>
                <c:pt idx="31">
                  <c:v>43751.465277777781</c:v>
                </c:pt>
                <c:pt idx="32">
                  <c:v>43751.472222222219</c:v>
                </c:pt>
                <c:pt idx="33">
                  <c:v>43751.479166666664</c:v>
                </c:pt>
                <c:pt idx="34">
                  <c:v>43751.486111111109</c:v>
                </c:pt>
                <c:pt idx="35">
                  <c:v>43751.493055555555</c:v>
                </c:pt>
                <c:pt idx="36">
                  <c:v>43751.5</c:v>
                </c:pt>
                <c:pt idx="37">
                  <c:v>43751.506944444445</c:v>
                </c:pt>
                <c:pt idx="38">
                  <c:v>43751.513888888891</c:v>
                </c:pt>
                <c:pt idx="39">
                  <c:v>43751.520833333336</c:v>
                </c:pt>
                <c:pt idx="40">
                  <c:v>43751.527777777781</c:v>
                </c:pt>
                <c:pt idx="41">
                  <c:v>43751.534722222219</c:v>
                </c:pt>
                <c:pt idx="42">
                  <c:v>43751.541666666664</c:v>
                </c:pt>
                <c:pt idx="43">
                  <c:v>43751.548611111109</c:v>
                </c:pt>
                <c:pt idx="44">
                  <c:v>43751.555555555555</c:v>
                </c:pt>
                <c:pt idx="45">
                  <c:v>43751.5625</c:v>
                </c:pt>
                <c:pt idx="46">
                  <c:v>43751.569444444445</c:v>
                </c:pt>
                <c:pt idx="47">
                  <c:v>43751.576388888891</c:v>
                </c:pt>
                <c:pt idx="48">
                  <c:v>43751.583333333336</c:v>
                </c:pt>
                <c:pt idx="49">
                  <c:v>43751.590277777781</c:v>
                </c:pt>
                <c:pt idx="50">
                  <c:v>43751.597222222219</c:v>
                </c:pt>
                <c:pt idx="51">
                  <c:v>43751.604166666664</c:v>
                </c:pt>
                <c:pt idx="52">
                  <c:v>43751.611111111109</c:v>
                </c:pt>
                <c:pt idx="53">
                  <c:v>43751.618055555555</c:v>
                </c:pt>
                <c:pt idx="54">
                  <c:v>43751.625</c:v>
                </c:pt>
                <c:pt idx="55">
                  <c:v>43751.631944444445</c:v>
                </c:pt>
                <c:pt idx="56">
                  <c:v>43751.638888888891</c:v>
                </c:pt>
                <c:pt idx="57">
                  <c:v>43751.645833333336</c:v>
                </c:pt>
                <c:pt idx="58">
                  <c:v>43751.652777777781</c:v>
                </c:pt>
                <c:pt idx="59">
                  <c:v>43751.659722222219</c:v>
                </c:pt>
                <c:pt idx="60">
                  <c:v>43751.666666666664</c:v>
                </c:pt>
                <c:pt idx="61">
                  <c:v>43751.673611111109</c:v>
                </c:pt>
                <c:pt idx="62">
                  <c:v>43751.680555555555</c:v>
                </c:pt>
                <c:pt idx="63">
                  <c:v>43751.6875</c:v>
                </c:pt>
                <c:pt idx="64">
                  <c:v>43751.694444444445</c:v>
                </c:pt>
                <c:pt idx="65">
                  <c:v>43751.701388888891</c:v>
                </c:pt>
                <c:pt idx="66">
                  <c:v>43751.708333333336</c:v>
                </c:pt>
                <c:pt idx="67">
                  <c:v>43751.715277777781</c:v>
                </c:pt>
                <c:pt idx="68">
                  <c:v>43751.722222222219</c:v>
                </c:pt>
                <c:pt idx="69">
                  <c:v>43751.729166666664</c:v>
                </c:pt>
                <c:pt idx="70">
                  <c:v>43751.736111111109</c:v>
                </c:pt>
                <c:pt idx="71">
                  <c:v>43751.743055555555</c:v>
                </c:pt>
                <c:pt idx="72">
                  <c:v>43751.75</c:v>
                </c:pt>
                <c:pt idx="73" formatCode="m/d/yyyy\ h:mm">
                  <c:v>43752.25</c:v>
                </c:pt>
                <c:pt idx="74" formatCode="m/d/yyyy\ h:mm">
                  <c:v>43752.256944444445</c:v>
                </c:pt>
                <c:pt idx="75" formatCode="m/d/yyyy\ h:mm">
                  <c:v>43752.263888888891</c:v>
                </c:pt>
                <c:pt idx="76" formatCode="m/d/yyyy\ h:mm">
                  <c:v>43752.270833333336</c:v>
                </c:pt>
                <c:pt idx="77" formatCode="m/d/yyyy\ h:mm">
                  <c:v>43752.277777777781</c:v>
                </c:pt>
                <c:pt idx="78" formatCode="m/d/yyyy\ h:mm">
                  <c:v>43752.284722222219</c:v>
                </c:pt>
                <c:pt idx="79" formatCode="m/d/yyyy\ h:mm">
                  <c:v>43752.291666666664</c:v>
                </c:pt>
                <c:pt idx="80" formatCode="m/d/yyyy\ h:mm">
                  <c:v>43752.298611111109</c:v>
                </c:pt>
                <c:pt idx="81" formatCode="m/d/yyyy\ h:mm">
                  <c:v>43752.305555555555</c:v>
                </c:pt>
                <c:pt idx="82" formatCode="m/d/yyyy\ h:mm">
                  <c:v>43752.3125</c:v>
                </c:pt>
                <c:pt idx="83" formatCode="m/d/yyyy\ h:mm">
                  <c:v>43752.319444444445</c:v>
                </c:pt>
                <c:pt idx="84" formatCode="m/d/yyyy\ h:mm">
                  <c:v>43752.326388888891</c:v>
                </c:pt>
                <c:pt idx="85" formatCode="m/d/yyyy\ h:mm">
                  <c:v>43752.333333333336</c:v>
                </c:pt>
                <c:pt idx="86" formatCode="m/d/yyyy\ h:mm">
                  <c:v>43752.340277777781</c:v>
                </c:pt>
                <c:pt idx="87" formatCode="m/d/yyyy\ h:mm">
                  <c:v>43752.347222222219</c:v>
                </c:pt>
                <c:pt idx="88" formatCode="m/d/yyyy\ h:mm">
                  <c:v>43752.354166666664</c:v>
                </c:pt>
                <c:pt idx="89" formatCode="m/d/yyyy\ h:mm">
                  <c:v>43752.361111111109</c:v>
                </c:pt>
                <c:pt idx="90" formatCode="m/d/yyyy\ h:mm">
                  <c:v>43752.368055555555</c:v>
                </c:pt>
                <c:pt idx="91" formatCode="m/d/yyyy\ h:mm">
                  <c:v>43752.375</c:v>
                </c:pt>
                <c:pt idx="92" formatCode="m/d/yyyy\ h:mm">
                  <c:v>43752.381944444445</c:v>
                </c:pt>
                <c:pt idx="93" formatCode="m/d/yyyy\ h:mm">
                  <c:v>43752.388888888891</c:v>
                </c:pt>
                <c:pt idx="94" formatCode="m/d/yyyy\ h:mm">
                  <c:v>43752.395833333336</c:v>
                </c:pt>
                <c:pt idx="95" formatCode="m/d/yyyy\ h:mm">
                  <c:v>43752.402777777781</c:v>
                </c:pt>
                <c:pt idx="96" formatCode="m/d/yyyy\ h:mm">
                  <c:v>43752.409722222219</c:v>
                </c:pt>
                <c:pt idx="97" formatCode="m/d/yyyy\ h:mm">
                  <c:v>43752.416666666664</c:v>
                </c:pt>
                <c:pt idx="98" formatCode="m/d/yyyy\ h:mm">
                  <c:v>43752.423611111109</c:v>
                </c:pt>
                <c:pt idx="99" formatCode="m/d/yyyy\ h:mm">
                  <c:v>43752.430555555555</c:v>
                </c:pt>
                <c:pt idx="100" formatCode="m/d/yyyy\ h:mm">
                  <c:v>43752.4375</c:v>
                </c:pt>
                <c:pt idx="101" formatCode="m/d/yyyy\ h:mm">
                  <c:v>43752.444444444445</c:v>
                </c:pt>
                <c:pt idx="102" formatCode="m/d/yyyy\ h:mm">
                  <c:v>43752.451388888891</c:v>
                </c:pt>
                <c:pt idx="103" formatCode="m/d/yyyy\ h:mm">
                  <c:v>43752.458333333336</c:v>
                </c:pt>
                <c:pt idx="104" formatCode="m/d/yyyy\ h:mm">
                  <c:v>43752.465277777781</c:v>
                </c:pt>
                <c:pt idx="105" formatCode="m/d/yyyy\ h:mm">
                  <c:v>43752.472222222219</c:v>
                </c:pt>
                <c:pt idx="106" formatCode="m/d/yyyy\ h:mm">
                  <c:v>43752.479166666664</c:v>
                </c:pt>
                <c:pt idx="107" formatCode="m/d/yyyy\ h:mm">
                  <c:v>43752.486111111109</c:v>
                </c:pt>
                <c:pt idx="108" formatCode="m/d/yyyy\ h:mm">
                  <c:v>43752.493055555555</c:v>
                </c:pt>
                <c:pt idx="109" formatCode="m/d/yyyy\ h:mm">
                  <c:v>43752.5</c:v>
                </c:pt>
                <c:pt idx="110" formatCode="m/d/yyyy\ h:mm">
                  <c:v>43752.506944444445</c:v>
                </c:pt>
                <c:pt idx="111" formatCode="m/d/yyyy\ h:mm">
                  <c:v>43752.513888888891</c:v>
                </c:pt>
                <c:pt idx="112" formatCode="m/d/yyyy\ h:mm">
                  <c:v>43752.520833333336</c:v>
                </c:pt>
                <c:pt idx="113" formatCode="m/d/yyyy\ h:mm">
                  <c:v>43752.527777777781</c:v>
                </c:pt>
                <c:pt idx="114" formatCode="m/d/yyyy\ h:mm">
                  <c:v>43752.534722222219</c:v>
                </c:pt>
                <c:pt idx="115" formatCode="m/d/yyyy\ h:mm">
                  <c:v>43752.541666666664</c:v>
                </c:pt>
                <c:pt idx="116" formatCode="m/d/yyyy\ h:mm">
                  <c:v>43752.548611111109</c:v>
                </c:pt>
                <c:pt idx="117" formatCode="m/d/yyyy\ h:mm">
                  <c:v>43752.555555555555</c:v>
                </c:pt>
                <c:pt idx="118" formatCode="m/d/yyyy\ h:mm">
                  <c:v>43752.5625</c:v>
                </c:pt>
                <c:pt idx="119" formatCode="m/d/yyyy\ h:mm">
                  <c:v>43752.569444444445</c:v>
                </c:pt>
                <c:pt idx="120" formatCode="m/d/yyyy\ h:mm">
                  <c:v>43752.576388888891</c:v>
                </c:pt>
                <c:pt idx="121" formatCode="m/d/yyyy\ h:mm">
                  <c:v>43752.583333333336</c:v>
                </c:pt>
                <c:pt idx="122" formatCode="m/d/yyyy\ h:mm">
                  <c:v>43752.590277777781</c:v>
                </c:pt>
                <c:pt idx="123" formatCode="m/d/yyyy\ h:mm">
                  <c:v>43752.597222222219</c:v>
                </c:pt>
                <c:pt idx="124" formatCode="m/d/yyyy\ h:mm">
                  <c:v>43752.604166666664</c:v>
                </c:pt>
                <c:pt idx="125" formatCode="m/d/yyyy\ h:mm">
                  <c:v>43752.611111111109</c:v>
                </c:pt>
                <c:pt idx="126" formatCode="m/d/yyyy\ h:mm">
                  <c:v>43752.618055555555</c:v>
                </c:pt>
                <c:pt idx="127" formatCode="m/d/yyyy\ h:mm">
                  <c:v>43752.625</c:v>
                </c:pt>
                <c:pt idx="128" formatCode="m/d/yyyy\ h:mm">
                  <c:v>43752.631944444445</c:v>
                </c:pt>
                <c:pt idx="129" formatCode="m/d/yyyy\ h:mm">
                  <c:v>43752.638888888891</c:v>
                </c:pt>
                <c:pt idx="130" formatCode="m/d/yyyy\ h:mm">
                  <c:v>43752.645833333336</c:v>
                </c:pt>
                <c:pt idx="131" formatCode="m/d/yyyy\ h:mm">
                  <c:v>43752.652777777781</c:v>
                </c:pt>
                <c:pt idx="132" formatCode="m/d/yyyy\ h:mm">
                  <c:v>43752.659722222219</c:v>
                </c:pt>
                <c:pt idx="133" formatCode="m/d/yyyy\ h:mm">
                  <c:v>43752.666666666664</c:v>
                </c:pt>
                <c:pt idx="134" formatCode="m/d/yyyy\ h:mm">
                  <c:v>43752.673611111109</c:v>
                </c:pt>
                <c:pt idx="135" formatCode="m/d/yyyy\ h:mm">
                  <c:v>43752.680555555555</c:v>
                </c:pt>
                <c:pt idx="136" formatCode="m/d/yyyy\ h:mm">
                  <c:v>43752.6875</c:v>
                </c:pt>
                <c:pt idx="137" formatCode="m/d/yyyy\ h:mm">
                  <c:v>43752.694444444445</c:v>
                </c:pt>
                <c:pt idx="138" formatCode="m/d/yyyy\ h:mm">
                  <c:v>43752.701388888891</c:v>
                </c:pt>
                <c:pt idx="139" formatCode="m/d/yyyy\ h:mm">
                  <c:v>43752.708333333336</c:v>
                </c:pt>
                <c:pt idx="140" formatCode="m/d/yyyy\ h:mm">
                  <c:v>43752.715277777781</c:v>
                </c:pt>
                <c:pt idx="141" formatCode="m/d/yyyy\ h:mm">
                  <c:v>43752.722222222219</c:v>
                </c:pt>
                <c:pt idx="142" formatCode="m/d/yyyy\ h:mm">
                  <c:v>43752.729166666664</c:v>
                </c:pt>
                <c:pt idx="143" formatCode="m/d/yyyy\ h:mm">
                  <c:v>43752.736111111109</c:v>
                </c:pt>
                <c:pt idx="144" formatCode="m/d/yyyy\ h:mm">
                  <c:v>43752.743055555555</c:v>
                </c:pt>
                <c:pt idx="145" formatCode="m/d/yyyy\ h:mm">
                  <c:v>43752.75</c:v>
                </c:pt>
                <c:pt idx="146" formatCode="m/d/yyyy\ h:mm">
                  <c:v>43752.756944444445</c:v>
                </c:pt>
                <c:pt idx="147" formatCode="m/d/yyyy\ h:mm">
                  <c:v>43752.763888888891</c:v>
                </c:pt>
                <c:pt idx="148" formatCode="m/d/yyyy\ h:mm">
                  <c:v>43752.770833333336</c:v>
                </c:pt>
                <c:pt idx="149" formatCode="m/d/yyyy\ h:mm">
                  <c:v>43752.777777777781</c:v>
                </c:pt>
                <c:pt idx="150" formatCode="m/d/yyyy\ h:mm">
                  <c:v>43752.784722222219</c:v>
                </c:pt>
                <c:pt idx="151" formatCode="m/d/yyyy\ h:mm">
                  <c:v>43752.791666666664</c:v>
                </c:pt>
              </c:numCache>
            </c:numRef>
          </c:xVal>
          <c:yVal>
            <c:numRef>
              <c:f>Main_Day1_2!$O$6:$O$157</c:f>
              <c:numCache>
                <c:formatCode>General</c:formatCode>
                <c:ptCount val="15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-705.01312277163879</c:v>
                </c:pt>
                <c:pt idx="13">
                  <c:v>-705.01312277163879</c:v>
                </c:pt>
                <c:pt idx="14">
                  <c:v>-705.01312277163879</c:v>
                </c:pt>
                <c:pt idx="15">
                  <c:v>-705.01312277163879</c:v>
                </c:pt>
                <c:pt idx="16">
                  <c:v>-705.01312277163879</c:v>
                </c:pt>
                <c:pt idx="17">
                  <c:v>-705.01312277163879</c:v>
                </c:pt>
                <c:pt idx="18">
                  <c:v>-705.01312277163879</c:v>
                </c:pt>
                <c:pt idx="19">
                  <c:v>-705.01312277163879</c:v>
                </c:pt>
                <c:pt idx="20">
                  <c:v>-705.01312277163879</c:v>
                </c:pt>
                <c:pt idx="21">
                  <c:v>-705.01312277163879</c:v>
                </c:pt>
                <c:pt idx="22">
                  <c:v>-705.01312277163879</c:v>
                </c:pt>
                <c:pt idx="23">
                  <c:v>-705.01312277163879</c:v>
                </c:pt>
                <c:pt idx="24">
                  <c:v>-705.01312277163879</c:v>
                </c:pt>
                <c:pt idx="25">
                  <c:v>-705.01312277163879</c:v>
                </c:pt>
                <c:pt idx="26">
                  <c:v>-705.01312277163879</c:v>
                </c:pt>
                <c:pt idx="27">
                  <c:v>-705.01312277163879</c:v>
                </c:pt>
                <c:pt idx="28">
                  <c:v>-705.01312277163879</c:v>
                </c:pt>
                <c:pt idx="29">
                  <c:v>-705.01312277163879</c:v>
                </c:pt>
                <c:pt idx="30">
                  <c:v>-705.01312277163879</c:v>
                </c:pt>
                <c:pt idx="31">
                  <c:v>-705.01312277163879</c:v>
                </c:pt>
                <c:pt idx="32">
                  <c:v>-705.01312277163879</c:v>
                </c:pt>
                <c:pt idx="33">
                  <c:v>-705.01312277163879</c:v>
                </c:pt>
                <c:pt idx="34">
                  <c:v>-705.01312277163879</c:v>
                </c:pt>
                <c:pt idx="35">
                  <c:v>-705.01312277163879</c:v>
                </c:pt>
                <c:pt idx="36">
                  <c:v>-705.01312277163879</c:v>
                </c:pt>
                <c:pt idx="37">
                  <c:v>-523.6009579884186</c:v>
                </c:pt>
                <c:pt idx="38">
                  <c:v>-523.6009579884186</c:v>
                </c:pt>
                <c:pt idx="39">
                  <c:v>-523.6009579884186</c:v>
                </c:pt>
                <c:pt idx="40">
                  <c:v>-523.6009579884186</c:v>
                </c:pt>
                <c:pt idx="41">
                  <c:v>-523.6009579884186</c:v>
                </c:pt>
                <c:pt idx="42">
                  <c:v>-523.6009579884186</c:v>
                </c:pt>
                <c:pt idx="43">
                  <c:v>-523.6009579884186</c:v>
                </c:pt>
                <c:pt idx="44">
                  <c:v>-523.6009579884186</c:v>
                </c:pt>
                <c:pt idx="45">
                  <c:v>-523.6009579884186</c:v>
                </c:pt>
                <c:pt idx="46">
                  <c:v>-523.6009579884186</c:v>
                </c:pt>
                <c:pt idx="47">
                  <c:v>-523.6009579884186</c:v>
                </c:pt>
                <c:pt idx="48">
                  <c:v>-523.6009579884186</c:v>
                </c:pt>
                <c:pt idx="49">
                  <c:v>-523.6009579884186</c:v>
                </c:pt>
                <c:pt idx="50">
                  <c:v>-523.6009579884186</c:v>
                </c:pt>
                <c:pt idx="51">
                  <c:v>-523.6009579884186</c:v>
                </c:pt>
                <c:pt idx="52">
                  <c:v>-523.6009579884186</c:v>
                </c:pt>
                <c:pt idx="53">
                  <c:v>-523.6009579884186</c:v>
                </c:pt>
                <c:pt idx="54">
                  <c:v>-523.6009579884186</c:v>
                </c:pt>
                <c:pt idx="55">
                  <c:v>-523.6009579884186</c:v>
                </c:pt>
                <c:pt idx="56">
                  <c:v>-523.6009579884186</c:v>
                </c:pt>
                <c:pt idx="57">
                  <c:v>-523.6009579884186</c:v>
                </c:pt>
                <c:pt idx="58">
                  <c:v>-523.6009579884186</c:v>
                </c:pt>
                <c:pt idx="59">
                  <c:v>-523.6009579884186</c:v>
                </c:pt>
                <c:pt idx="60">
                  <c:v>-523.6009579884186</c:v>
                </c:pt>
                <c:pt idx="61">
                  <c:v>-523.6009579884186</c:v>
                </c:pt>
                <c:pt idx="62">
                  <c:v>-523.6009579884186</c:v>
                </c:pt>
                <c:pt idx="63">
                  <c:v>-523.6009579884186</c:v>
                </c:pt>
                <c:pt idx="64">
                  <c:v>-523.6009579884186</c:v>
                </c:pt>
                <c:pt idx="65">
                  <c:v>-523.6009579884186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-523.6009579884186</c:v>
                </c:pt>
                <c:pt idx="86">
                  <c:v>-523.6009579884186</c:v>
                </c:pt>
                <c:pt idx="87">
                  <c:v>-523.6009579884186</c:v>
                </c:pt>
                <c:pt idx="88">
                  <c:v>-523.6009579884186</c:v>
                </c:pt>
                <c:pt idx="89">
                  <c:v>-523.6009579884186</c:v>
                </c:pt>
                <c:pt idx="90">
                  <c:v>-523.6009579884186</c:v>
                </c:pt>
                <c:pt idx="91">
                  <c:v>-523.6009579884186</c:v>
                </c:pt>
                <c:pt idx="92">
                  <c:v>-523.6009579884186</c:v>
                </c:pt>
                <c:pt idx="93">
                  <c:v>-523.6009579884186</c:v>
                </c:pt>
                <c:pt idx="94">
                  <c:v>-523.6009579884186</c:v>
                </c:pt>
                <c:pt idx="95">
                  <c:v>-523.6009579884186</c:v>
                </c:pt>
                <c:pt idx="96">
                  <c:v>-523.6009579884186</c:v>
                </c:pt>
                <c:pt idx="97">
                  <c:v>-523.6009579884186</c:v>
                </c:pt>
                <c:pt idx="98">
                  <c:v>-523.6009579884186</c:v>
                </c:pt>
                <c:pt idx="99">
                  <c:v>-811.6256291049707</c:v>
                </c:pt>
                <c:pt idx="100">
                  <c:v>-811.6256291049707</c:v>
                </c:pt>
                <c:pt idx="101">
                  <c:v>-811.6256291049707</c:v>
                </c:pt>
                <c:pt idx="102">
                  <c:v>-811.6256291049707</c:v>
                </c:pt>
                <c:pt idx="103">
                  <c:v>-811.6256291049707</c:v>
                </c:pt>
                <c:pt idx="104">
                  <c:v>-811.6256291049707</c:v>
                </c:pt>
                <c:pt idx="105">
                  <c:v>-811.6256291049707</c:v>
                </c:pt>
                <c:pt idx="106">
                  <c:v>-811.6256291049707</c:v>
                </c:pt>
                <c:pt idx="107">
                  <c:v>-811.6256291049707</c:v>
                </c:pt>
                <c:pt idx="108">
                  <c:v>-811.6256291049707</c:v>
                </c:pt>
                <c:pt idx="109">
                  <c:v>-811.6256291049707</c:v>
                </c:pt>
                <c:pt idx="110">
                  <c:v>-811.6256291049707</c:v>
                </c:pt>
                <c:pt idx="111">
                  <c:v>-811.6256291049707</c:v>
                </c:pt>
                <c:pt idx="112">
                  <c:v>-811.6256291049707</c:v>
                </c:pt>
                <c:pt idx="113">
                  <c:v>-811.6256291049707</c:v>
                </c:pt>
                <c:pt idx="114">
                  <c:v>-811.6256291049707</c:v>
                </c:pt>
                <c:pt idx="115">
                  <c:v>-811.6256291049707</c:v>
                </c:pt>
                <c:pt idx="116">
                  <c:v>-811.6256291049707</c:v>
                </c:pt>
                <c:pt idx="117">
                  <c:v>-811.6256291049707</c:v>
                </c:pt>
                <c:pt idx="118">
                  <c:v>-811.6256291049707</c:v>
                </c:pt>
                <c:pt idx="119">
                  <c:v>-811.6256291049707</c:v>
                </c:pt>
                <c:pt idx="120">
                  <c:v>-811.6256291049707</c:v>
                </c:pt>
                <c:pt idx="121">
                  <c:v>-811.6256291049707</c:v>
                </c:pt>
                <c:pt idx="122">
                  <c:v>-811.6256291049707</c:v>
                </c:pt>
                <c:pt idx="123">
                  <c:v>-811.6256291049707</c:v>
                </c:pt>
                <c:pt idx="124">
                  <c:v>-811.6256291049707</c:v>
                </c:pt>
                <c:pt idx="125">
                  <c:v>-811.6256291049707</c:v>
                </c:pt>
                <c:pt idx="126">
                  <c:v>-811.6256291049707</c:v>
                </c:pt>
                <c:pt idx="127">
                  <c:v>-811.6256291049707</c:v>
                </c:pt>
                <c:pt idx="128">
                  <c:v>-811.6256291049707</c:v>
                </c:pt>
                <c:pt idx="129">
                  <c:v>-811.6256291049707</c:v>
                </c:pt>
                <c:pt idx="130">
                  <c:v>-811.6256291049707</c:v>
                </c:pt>
                <c:pt idx="131">
                  <c:v>-811.6256291049707</c:v>
                </c:pt>
                <c:pt idx="132">
                  <c:v>-811.6256291049707</c:v>
                </c:pt>
                <c:pt idx="133">
                  <c:v>-811.6256291049707</c:v>
                </c:pt>
                <c:pt idx="134">
                  <c:v>-811.6256291049707</c:v>
                </c:pt>
                <c:pt idx="135">
                  <c:v>-811.6256291049707</c:v>
                </c:pt>
                <c:pt idx="136">
                  <c:v>-811.6256291049707</c:v>
                </c:pt>
                <c:pt idx="137">
                  <c:v>-811.6256291049707</c:v>
                </c:pt>
                <c:pt idx="138">
                  <c:v>-811.6256291049707</c:v>
                </c:pt>
                <c:pt idx="139">
                  <c:v>-811.6256291049707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BA02-4D4B-B79E-D53997F0B2C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60121936"/>
        <c:axId val="460119376"/>
      </c:scatterChart>
      <c:scatterChart>
        <c:scatterStyle val="smoothMarker"/>
        <c:varyColors val="0"/>
        <c:ser>
          <c:idx val="0"/>
          <c:order val="0"/>
          <c:tx>
            <c:strRef>
              <c:f>Main_Day1_2!$L$5</c:f>
              <c:strCache>
                <c:ptCount val="1"/>
                <c:pt idx="0">
                  <c:v>バッテリ残量[Wh]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Main_Day1_2!$K$6:$K$157</c:f>
              <c:numCache>
                <c:formatCode>yyyy/m/d\ h:mm;@</c:formatCode>
                <c:ptCount val="152"/>
                <c:pt idx="0">
                  <c:v>43751.25</c:v>
                </c:pt>
                <c:pt idx="1">
                  <c:v>43751.256944444445</c:v>
                </c:pt>
                <c:pt idx="2">
                  <c:v>43751.263888888891</c:v>
                </c:pt>
                <c:pt idx="3">
                  <c:v>43751.270833333336</c:v>
                </c:pt>
                <c:pt idx="4">
                  <c:v>43751.277777777781</c:v>
                </c:pt>
                <c:pt idx="5">
                  <c:v>43751.284722222219</c:v>
                </c:pt>
                <c:pt idx="6">
                  <c:v>43751.291666666664</c:v>
                </c:pt>
                <c:pt idx="7">
                  <c:v>43751.298611111109</c:v>
                </c:pt>
                <c:pt idx="8">
                  <c:v>43751.305555555555</c:v>
                </c:pt>
                <c:pt idx="9">
                  <c:v>43751.3125</c:v>
                </c:pt>
                <c:pt idx="10">
                  <c:v>43751.319444444445</c:v>
                </c:pt>
                <c:pt idx="11">
                  <c:v>43751.326388888891</c:v>
                </c:pt>
                <c:pt idx="12">
                  <c:v>43751.333333333336</c:v>
                </c:pt>
                <c:pt idx="13">
                  <c:v>43751.340277777781</c:v>
                </c:pt>
                <c:pt idx="14">
                  <c:v>43751.347222222219</c:v>
                </c:pt>
                <c:pt idx="15">
                  <c:v>43751.354166666664</c:v>
                </c:pt>
                <c:pt idx="16">
                  <c:v>43751.361111111109</c:v>
                </c:pt>
                <c:pt idx="17">
                  <c:v>43751.368055555555</c:v>
                </c:pt>
                <c:pt idx="18">
                  <c:v>43751.375</c:v>
                </c:pt>
                <c:pt idx="19">
                  <c:v>43751.381944444445</c:v>
                </c:pt>
                <c:pt idx="20">
                  <c:v>43751.388888888891</c:v>
                </c:pt>
                <c:pt idx="21">
                  <c:v>43751.395833333336</c:v>
                </c:pt>
                <c:pt idx="22">
                  <c:v>43751.402777777781</c:v>
                </c:pt>
                <c:pt idx="23">
                  <c:v>43751.409722222219</c:v>
                </c:pt>
                <c:pt idx="24">
                  <c:v>43751.416666666664</c:v>
                </c:pt>
                <c:pt idx="25">
                  <c:v>43751.423611111109</c:v>
                </c:pt>
                <c:pt idx="26">
                  <c:v>43751.430555555555</c:v>
                </c:pt>
                <c:pt idx="27">
                  <c:v>43751.4375</c:v>
                </c:pt>
                <c:pt idx="28">
                  <c:v>43751.444444444445</c:v>
                </c:pt>
                <c:pt idx="29">
                  <c:v>43751.451388888891</c:v>
                </c:pt>
                <c:pt idx="30">
                  <c:v>43751.458333333336</c:v>
                </c:pt>
                <c:pt idx="31">
                  <c:v>43751.465277777781</c:v>
                </c:pt>
                <c:pt idx="32">
                  <c:v>43751.472222222219</c:v>
                </c:pt>
                <c:pt idx="33">
                  <c:v>43751.479166666664</c:v>
                </c:pt>
                <c:pt idx="34">
                  <c:v>43751.486111111109</c:v>
                </c:pt>
                <c:pt idx="35">
                  <c:v>43751.493055555555</c:v>
                </c:pt>
                <c:pt idx="36">
                  <c:v>43751.5</c:v>
                </c:pt>
                <c:pt idx="37">
                  <c:v>43751.506944444445</c:v>
                </c:pt>
                <c:pt idx="38">
                  <c:v>43751.513888888891</c:v>
                </c:pt>
                <c:pt idx="39">
                  <c:v>43751.520833333336</c:v>
                </c:pt>
                <c:pt idx="40">
                  <c:v>43751.527777777781</c:v>
                </c:pt>
                <c:pt idx="41">
                  <c:v>43751.534722222219</c:v>
                </c:pt>
                <c:pt idx="42">
                  <c:v>43751.541666666664</c:v>
                </c:pt>
                <c:pt idx="43">
                  <c:v>43751.548611111109</c:v>
                </c:pt>
                <c:pt idx="44">
                  <c:v>43751.555555555555</c:v>
                </c:pt>
                <c:pt idx="45">
                  <c:v>43751.5625</c:v>
                </c:pt>
                <c:pt idx="46">
                  <c:v>43751.569444444445</c:v>
                </c:pt>
                <c:pt idx="47">
                  <c:v>43751.576388888891</c:v>
                </c:pt>
                <c:pt idx="48">
                  <c:v>43751.583333333336</c:v>
                </c:pt>
                <c:pt idx="49">
                  <c:v>43751.590277777781</c:v>
                </c:pt>
                <c:pt idx="50">
                  <c:v>43751.597222222219</c:v>
                </c:pt>
                <c:pt idx="51">
                  <c:v>43751.604166666664</c:v>
                </c:pt>
                <c:pt idx="52">
                  <c:v>43751.611111111109</c:v>
                </c:pt>
                <c:pt idx="53">
                  <c:v>43751.618055555555</c:v>
                </c:pt>
                <c:pt idx="54">
                  <c:v>43751.625</c:v>
                </c:pt>
                <c:pt idx="55">
                  <c:v>43751.631944444445</c:v>
                </c:pt>
                <c:pt idx="56">
                  <c:v>43751.638888888891</c:v>
                </c:pt>
                <c:pt idx="57">
                  <c:v>43751.645833333336</c:v>
                </c:pt>
                <c:pt idx="58">
                  <c:v>43751.652777777781</c:v>
                </c:pt>
                <c:pt idx="59">
                  <c:v>43751.659722222219</c:v>
                </c:pt>
                <c:pt idx="60">
                  <c:v>43751.666666666664</c:v>
                </c:pt>
                <c:pt idx="61">
                  <c:v>43751.673611111109</c:v>
                </c:pt>
                <c:pt idx="62">
                  <c:v>43751.680555555555</c:v>
                </c:pt>
                <c:pt idx="63">
                  <c:v>43751.6875</c:v>
                </c:pt>
                <c:pt idx="64">
                  <c:v>43751.694444444445</c:v>
                </c:pt>
                <c:pt idx="65">
                  <c:v>43751.701388888891</c:v>
                </c:pt>
                <c:pt idx="66">
                  <c:v>43751.708333333336</c:v>
                </c:pt>
                <c:pt idx="67">
                  <c:v>43751.715277777781</c:v>
                </c:pt>
                <c:pt idx="68">
                  <c:v>43751.722222222219</c:v>
                </c:pt>
                <c:pt idx="69">
                  <c:v>43751.729166666664</c:v>
                </c:pt>
                <c:pt idx="70">
                  <c:v>43751.736111111109</c:v>
                </c:pt>
                <c:pt idx="71">
                  <c:v>43751.743055555555</c:v>
                </c:pt>
                <c:pt idx="72">
                  <c:v>43751.75</c:v>
                </c:pt>
                <c:pt idx="73" formatCode="m/d/yyyy\ h:mm">
                  <c:v>43752.25</c:v>
                </c:pt>
                <c:pt idx="74" formatCode="m/d/yyyy\ h:mm">
                  <c:v>43752.256944444445</c:v>
                </c:pt>
                <c:pt idx="75" formatCode="m/d/yyyy\ h:mm">
                  <c:v>43752.263888888891</c:v>
                </c:pt>
                <c:pt idx="76" formatCode="m/d/yyyy\ h:mm">
                  <c:v>43752.270833333336</c:v>
                </c:pt>
                <c:pt idx="77" formatCode="m/d/yyyy\ h:mm">
                  <c:v>43752.277777777781</c:v>
                </c:pt>
                <c:pt idx="78" formatCode="m/d/yyyy\ h:mm">
                  <c:v>43752.284722222219</c:v>
                </c:pt>
                <c:pt idx="79" formatCode="m/d/yyyy\ h:mm">
                  <c:v>43752.291666666664</c:v>
                </c:pt>
                <c:pt idx="80" formatCode="m/d/yyyy\ h:mm">
                  <c:v>43752.298611111109</c:v>
                </c:pt>
                <c:pt idx="81" formatCode="m/d/yyyy\ h:mm">
                  <c:v>43752.305555555555</c:v>
                </c:pt>
                <c:pt idx="82" formatCode="m/d/yyyy\ h:mm">
                  <c:v>43752.3125</c:v>
                </c:pt>
                <c:pt idx="83" formatCode="m/d/yyyy\ h:mm">
                  <c:v>43752.319444444445</c:v>
                </c:pt>
                <c:pt idx="84" formatCode="m/d/yyyy\ h:mm">
                  <c:v>43752.326388888891</c:v>
                </c:pt>
                <c:pt idx="85" formatCode="m/d/yyyy\ h:mm">
                  <c:v>43752.333333333336</c:v>
                </c:pt>
                <c:pt idx="86" formatCode="m/d/yyyy\ h:mm">
                  <c:v>43752.340277777781</c:v>
                </c:pt>
                <c:pt idx="87" formatCode="m/d/yyyy\ h:mm">
                  <c:v>43752.347222222219</c:v>
                </c:pt>
                <c:pt idx="88" formatCode="m/d/yyyy\ h:mm">
                  <c:v>43752.354166666664</c:v>
                </c:pt>
                <c:pt idx="89" formatCode="m/d/yyyy\ h:mm">
                  <c:v>43752.361111111109</c:v>
                </c:pt>
                <c:pt idx="90" formatCode="m/d/yyyy\ h:mm">
                  <c:v>43752.368055555555</c:v>
                </c:pt>
                <c:pt idx="91" formatCode="m/d/yyyy\ h:mm">
                  <c:v>43752.375</c:v>
                </c:pt>
                <c:pt idx="92" formatCode="m/d/yyyy\ h:mm">
                  <c:v>43752.381944444445</c:v>
                </c:pt>
                <c:pt idx="93" formatCode="m/d/yyyy\ h:mm">
                  <c:v>43752.388888888891</c:v>
                </c:pt>
                <c:pt idx="94" formatCode="m/d/yyyy\ h:mm">
                  <c:v>43752.395833333336</c:v>
                </c:pt>
                <c:pt idx="95" formatCode="m/d/yyyy\ h:mm">
                  <c:v>43752.402777777781</c:v>
                </c:pt>
                <c:pt idx="96" formatCode="m/d/yyyy\ h:mm">
                  <c:v>43752.409722222219</c:v>
                </c:pt>
                <c:pt idx="97" formatCode="m/d/yyyy\ h:mm">
                  <c:v>43752.416666666664</c:v>
                </c:pt>
                <c:pt idx="98" formatCode="m/d/yyyy\ h:mm">
                  <c:v>43752.423611111109</c:v>
                </c:pt>
                <c:pt idx="99" formatCode="m/d/yyyy\ h:mm">
                  <c:v>43752.430555555555</c:v>
                </c:pt>
                <c:pt idx="100" formatCode="m/d/yyyy\ h:mm">
                  <c:v>43752.4375</c:v>
                </c:pt>
                <c:pt idx="101" formatCode="m/d/yyyy\ h:mm">
                  <c:v>43752.444444444445</c:v>
                </c:pt>
                <c:pt idx="102" formatCode="m/d/yyyy\ h:mm">
                  <c:v>43752.451388888891</c:v>
                </c:pt>
                <c:pt idx="103" formatCode="m/d/yyyy\ h:mm">
                  <c:v>43752.458333333336</c:v>
                </c:pt>
                <c:pt idx="104" formatCode="m/d/yyyy\ h:mm">
                  <c:v>43752.465277777781</c:v>
                </c:pt>
                <c:pt idx="105" formatCode="m/d/yyyy\ h:mm">
                  <c:v>43752.472222222219</c:v>
                </c:pt>
                <c:pt idx="106" formatCode="m/d/yyyy\ h:mm">
                  <c:v>43752.479166666664</c:v>
                </c:pt>
                <c:pt idx="107" formatCode="m/d/yyyy\ h:mm">
                  <c:v>43752.486111111109</c:v>
                </c:pt>
                <c:pt idx="108" formatCode="m/d/yyyy\ h:mm">
                  <c:v>43752.493055555555</c:v>
                </c:pt>
                <c:pt idx="109" formatCode="m/d/yyyy\ h:mm">
                  <c:v>43752.5</c:v>
                </c:pt>
                <c:pt idx="110" formatCode="m/d/yyyy\ h:mm">
                  <c:v>43752.506944444445</c:v>
                </c:pt>
                <c:pt idx="111" formatCode="m/d/yyyy\ h:mm">
                  <c:v>43752.513888888891</c:v>
                </c:pt>
                <c:pt idx="112" formatCode="m/d/yyyy\ h:mm">
                  <c:v>43752.520833333336</c:v>
                </c:pt>
                <c:pt idx="113" formatCode="m/d/yyyy\ h:mm">
                  <c:v>43752.527777777781</c:v>
                </c:pt>
                <c:pt idx="114" formatCode="m/d/yyyy\ h:mm">
                  <c:v>43752.534722222219</c:v>
                </c:pt>
                <c:pt idx="115" formatCode="m/d/yyyy\ h:mm">
                  <c:v>43752.541666666664</c:v>
                </c:pt>
                <c:pt idx="116" formatCode="m/d/yyyy\ h:mm">
                  <c:v>43752.548611111109</c:v>
                </c:pt>
                <c:pt idx="117" formatCode="m/d/yyyy\ h:mm">
                  <c:v>43752.555555555555</c:v>
                </c:pt>
                <c:pt idx="118" formatCode="m/d/yyyy\ h:mm">
                  <c:v>43752.5625</c:v>
                </c:pt>
                <c:pt idx="119" formatCode="m/d/yyyy\ h:mm">
                  <c:v>43752.569444444445</c:v>
                </c:pt>
                <c:pt idx="120" formatCode="m/d/yyyy\ h:mm">
                  <c:v>43752.576388888891</c:v>
                </c:pt>
                <c:pt idx="121" formatCode="m/d/yyyy\ h:mm">
                  <c:v>43752.583333333336</c:v>
                </c:pt>
                <c:pt idx="122" formatCode="m/d/yyyy\ h:mm">
                  <c:v>43752.590277777781</c:v>
                </c:pt>
                <c:pt idx="123" formatCode="m/d/yyyy\ h:mm">
                  <c:v>43752.597222222219</c:v>
                </c:pt>
                <c:pt idx="124" formatCode="m/d/yyyy\ h:mm">
                  <c:v>43752.604166666664</c:v>
                </c:pt>
                <c:pt idx="125" formatCode="m/d/yyyy\ h:mm">
                  <c:v>43752.611111111109</c:v>
                </c:pt>
                <c:pt idx="126" formatCode="m/d/yyyy\ h:mm">
                  <c:v>43752.618055555555</c:v>
                </c:pt>
                <c:pt idx="127" formatCode="m/d/yyyy\ h:mm">
                  <c:v>43752.625</c:v>
                </c:pt>
                <c:pt idx="128" formatCode="m/d/yyyy\ h:mm">
                  <c:v>43752.631944444445</c:v>
                </c:pt>
                <c:pt idx="129" formatCode="m/d/yyyy\ h:mm">
                  <c:v>43752.638888888891</c:v>
                </c:pt>
                <c:pt idx="130" formatCode="m/d/yyyy\ h:mm">
                  <c:v>43752.645833333336</c:v>
                </c:pt>
                <c:pt idx="131" formatCode="m/d/yyyy\ h:mm">
                  <c:v>43752.652777777781</c:v>
                </c:pt>
                <c:pt idx="132" formatCode="m/d/yyyy\ h:mm">
                  <c:v>43752.659722222219</c:v>
                </c:pt>
                <c:pt idx="133" formatCode="m/d/yyyy\ h:mm">
                  <c:v>43752.666666666664</c:v>
                </c:pt>
                <c:pt idx="134" formatCode="m/d/yyyy\ h:mm">
                  <c:v>43752.673611111109</c:v>
                </c:pt>
                <c:pt idx="135" formatCode="m/d/yyyy\ h:mm">
                  <c:v>43752.680555555555</c:v>
                </c:pt>
                <c:pt idx="136" formatCode="m/d/yyyy\ h:mm">
                  <c:v>43752.6875</c:v>
                </c:pt>
                <c:pt idx="137" formatCode="m/d/yyyy\ h:mm">
                  <c:v>43752.694444444445</c:v>
                </c:pt>
                <c:pt idx="138" formatCode="m/d/yyyy\ h:mm">
                  <c:v>43752.701388888891</c:v>
                </c:pt>
                <c:pt idx="139" formatCode="m/d/yyyy\ h:mm">
                  <c:v>43752.708333333336</c:v>
                </c:pt>
                <c:pt idx="140" formatCode="m/d/yyyy\ h:mm">
                  <c:v>43752.715277777781</c:v>
                </c:pt>
                <c:pt idx="141" formatCode="m/d/yyyy\ h:mm">
                  <c:v>43752.722222222219</c:v>
                </c:pt>
                <c:pt idx="142" formatCode="m/d/yyyy\ h:mm">
                  <c:v>43752.729166666664</c:v>
                </c:pt>
                <c:pt idx="143" formatCode="m/d/yyyy\ h:mm">
                  <c:v>43752.736111111109</c:v>
                </c:pt>
                <c:pt idx="144" formatCode="m/d/yyyy\ h:mm">
                  <c:v>43752.743055555555</c:v>
                </c:pt>
                <c:pt idx="145" formatCode="m/d/yyyy\ h:mm">
                  <c:v>43752.75</c:v>
                </c:pt>
                <c:pt idx="146" formatCode="m/d/yyyy\ h:mm">
                  <c:v>43752.756944444445</c:v>
                </c:pt>
                <c:pt idx="147" formatCode="m/d/yyyy\ h:mm">
                  <c:v>43752.763888888891</c:v>
                </c:pt>
                <c:pt idx="148" formatCode="m/d/yyyy\ h:mm">
                  <c:v>43752.770833333336</c:v>
                </c:pt>
                <c:pt idx="149" formatCode="m/d/yyyy\ h:mm">
                  <c:v>43752.777777777781</c:v>
                </c:pt>
                <c:pt idx="150" formatCode="m/d/yyyy\ h:mm">
                  <c:v>43752.784722222219</c:v>
                </c:pt>
                <c:pt idx="151" formatCode="m/d/yyyy\ h:mm">
                  <c:v>43752.791666666664</c:v>
                </c:pt>
              </c:numCache>
            </c:numRef>
          </c:xVal>
          <c:yVal>
            <c:numRef>
              <c:f>Main_Day1_2!$L$6:$L$157</c:f>
              <c:numCache>
                <c:formatCode>General</c:formatCode>
                <c:ptCount val="152"/>
                <c:pt idx="0">
                  <c:v>4.9999986388888891</c:v>
                </c:pt>
                <c:pt idx="1">
                  <c:v>4.9999950000000002</c:v>
                </c:pt>
                <c:pt idx="2">
                  <c:v>4.9999895694444438</c:v>
                </c:pt>
                <c:pt idx="3">
                  <c:v>4.9999830833333334</c:v>
                </c:pt>
                <c:pt idx="4">
                  <c:v>4.9999759583333336</c:v>
                </c:pt>
                <c:pt idx="5">
                  <c:v>4.999968458333333</c:v>
                </c:pt>
                <c:pt idx="6">
                  <c:v>4.9999607500000005</c:v>
                </c:pt>
                <c:pt idx="7">
                  <c:v>4.9999529305555566</c:v>
                </c:pt>
                <c:pt idx="8">
                  <c:v>4.9999450694444443</c:v>
                </c:pt>
                <c:pt idx="9">
                  <c:v>4.9999372361111112</c:v>
                </c:pt>
                <c:pt idx="10">
                  <c:v>4.9999294583333338</c:v>
                </c:pt>
                <c:pt idx="11">
                  <c:v>4.9999217916666669</c:v>
                </c:pt>
                <c:pt idx="12">
                  <c:v>5.000110073089659</c:v>
                </c:pt>
                <c:pt idx="13">
                  <c:v>5.0001026842007708</c:v>
                </c:pt>
                <c:pt idx="14">
                  <c:v>5.0000954619785478</c:v>
                </c:pt>
                <c:pt idx="15">
                  <c:v>5.0000884342007703</c:v>
                </c:pt>
                <c:pt idx="16">
                  <c:v>5.0000816147563256</c:v>
                </c:pt>
                <c:pt idx="17">
                  <c:v>5.0000750314229929</c:v>
                </c:pt>
                <c:pt idx="18">
                  <c:v>5.0000686980896587</c:v>
                </c:pt>
                <c:pt idx="19">
                  <c:v>5.0000626286452139</c:v>
                </c:pt>
                <c:pt idx="20">
                  <c:v>5.0000568230896585</c:v>
                </c:pt>
                <c:pt idx="21">
                  <c:v>5.0000513230896582</c:v>
                </c:pt>
                <c:pt idx="22">
                  <c:v>5.0000461008674364</c:v>
                </c:pt>
                <c:pt idx="23">
                  <c:v>5.0000411980896589</c:v>
                </c:pt>
                <c:pt idx="24">
                  <c:v>5.0000366286452147</c:v>
                </c:pt>
                <c:pt idx="25">
                  <c:v>5.0000323786452148</c:v>
                </c:pt>
                <c:pt idx="26">
                  <c:v>5.0000284758674365</c:v>
                </c:pt>
                <c:pt idx="27">
                  <c:v>5.0000249064229925</c:v>
                </c:pt>
                <c:pt idx="28">
                  <c:v>5.0000216980896592</c:v>
                </c:pt>
                <c:pt idx="29">
                  <c:v>5.0000188647563251</c:v>
                </c:pt>
                <c:pt idx="30">
                  <c:v>5.0000163786452143</c:v>
                </c:pt>
                <c:pt idx="31">
                  <c:v>5.0000142814229918</c:v>
                </c:pt>
                <c:pt idx="32">
                  <c:v>5.00001255920077</c:v>
                </c:pt>
                <c:pt idx="33">
                  <c:v>5.0000112119785483</c:v>
                </c:pt>
                <c:pt idx="34">
                  <c:v>5.0000102397563264</c:v>
                </c:pt>
                <c:pt idx="35">
                  <c:v>5.0000096564229919</c:v>
                </c:pt>
                <c:pt idx="36">
                  <c:v>5.0000094758674365</c:v>
                </c:pt>
                <c:pt idx="37">
                  <c:v>4.9997730835994414</c:v>
                </c:pt>
                <c:pt idx="38">
                  <c:v>4.9997742502661078</c:v>
                </c:pt>
                <c:pt idx="39">
                  <c:v>4.9997761947105523</c:v>
                </c:pt>
                <c:pt idx="40">
                  <c:v>4.9997788613772185</c:v>
                </c:pt>
                <c:pt idx="41">
                  <c:v>4.9997823335994411</c:v>
                </c:pt>
                <c:pt idx="42">
                  <c:v>4.9997865280438853</c:v>
                </c:pt>
                <c:pt idx="43">
                  <c:v>4.9997914724883303</c:v>
                </c:pt>
                <c:pt idx="44">
                  <c:v>4.9997971669327743</c:v>
                </c:pt>
                <c:pt idx="45">
                  <c:v>4.9998035835994408</c:v>
                </c:pt>
                <c:pt idx="46">
                  <c:v>4.9998106947105523</c:v>
                </c:pt>
                <c:pt idx="47">
                  <c:v>4.9998185280438854</c:v>
                </c:pt>
                <c:pt idx="48">
                  <c:v>4.9998270002661078</c:v>
                </c:pt>
                <c:pt idx="49">
                  <c:v>4.9998361669327744</c:v>
                </c:pt>
                <c:pt idx="50">
                  <c:v>4.9998459724883295</c:v>
                </c:pt>
                <c:pt idx="51">
                  <c:v>4.9998563891549965</c:v>
                </c:pt>
                <c:pt idx="52">
                  <c:v>4.9998674169327746</c:v>
                </c:pt>
                <c:pt idx="53">
                  <c:v>4.9998790280438854</c:v>
                </c:pt>
                <c:pt idx="54">
                  <c:v>4.9998911669327741</c:v>
                </c:pt>
                <c:pt idx="55">
                  <c:v>4.9999038335994408</c:v>
                </c:pt>
                <c:pt idx="56">
                  <c:v>4.999917000266108</c:v>
                </c:pt>
                <c:pt idx="57">
                  <c:v>4.9999306113772191</c:v>
                </c:pt>
                <c:pt idx="58">
                  <c:v>4.9999446669327741</c:v>
                </c:pt>
                <c:pt idx="59">
                  <c:v>4.999959111377219</c:v>
                </c:pt>
                <c:pt idx="60">
                  <c:v>4.9999739169327748</c:v>
                </c:pt>
                <c:pt idx="61">
                  <c:v>4.9999890002661074</c:v>
                </c:pt>
                <c:pt idx="62">
                  <c:v>5.0000043613772185</c:v>
                </c:pt>
                <c:pt idx="63">
                  <c:v>5.0000198891549967</c:v>
                </c:pt>
                <c:pt idx="64">
                  <c:v>5.0000355835994412</c:v>
                </c:pt>
                <c:pt idx="65">
                  <c:v>5.0000512780438857</c:v>
                </c:pt>
                <c:pt idx="66">
                  <c:v>4.9999214722222227</c:v>
                </c:pt>
                <c:pt idx="67">
                  <c:v>4.999936916666667</c:v>
                </c:pt>
                <c:pt idx="68">
                  <c:v>4.999951888888889</c:v>
                </c:pt>
                <c:pt idx="69">
                  <c:v>4.9999661388888885</c:v>
                </c:pt>
                <c:pt idx="70">
                  <c:v>4.9999791388888886</c:v>
                </c:pt>
                <c:pt idx="71">
                  <c:v>4.9999899999999995</c:v>
                </c:pt>
                <c:pt idx="72">
                  <c:v>4.9999972777777772</c:v>
                </c:pt>
                <c:pt idx="73">
                  <c:v>4.9999956444444447</c:v>
                </c:pt>
                <c:pt idx="74">
                  <c:v>4.9999896444444438</c:v>
                </c:pt>
                <c:pt idx="75">
                  <c:v>4.999977127777778</c:v>
                </c:pt>
                <c:pt idx="76">
                  <c:v>4.9999568277777771</c:v>
                </c:pt>
                <c:pt idx="77">
                  <c:v>4.9999279777777774</c:v>
                </c:pt>
                <c:pt idx="78">
                  <c:v>4.9998901277777774</c:v>
                </c:pt>
                <c:pt idx="79">
                  <c:v>4.9998430277777768</c:v>
                </c:pt>
                <c:pt idx="80">
                  <c:v>4.9997865444444445</c:v>
                </c:pt>
                <c:pt idx="81">
                  <c:v>4.9997206277777773</c:v>
                </c:pt>
                <c:pt idx="82">
                  <c:v>4.9996453111111112</c:v>
                </c:pt>
                <c:pt idx="83">
                  <c:v>4.9995606611111105</c:v>
                </c:pt>
                <c:pt idx="84">
                  <c:v>4.9994668111111116</c:v>
                </c:pt>
                <c:pt idx="85">
                  <c:v>4.9995093391549972</c:v>
                </c:pt>
                <c:pt idx="86">
                  <c:v>4.9995430005322161</c:v>
                </c:pt>
                <c:pt idx="87">
                  <c:v>4.9995679952427681</c:v>
                </c:pt>
                <c:pt idx="88">
                  <c:v>4.999584556619987</c:v>
                </c:pt>
                <c:pt idx="89">
                  <c:v>4.9995929346638723</c:v>
                </c:pt>
                <c:pt idx="90">
                  <c:v>4.9995934127077577</c:v>
                </c:pt>
                <c:pt idx="91">
                  <c:v>4.999586290751644</c:v>
                </c:pt>
                <c:pt idx="92">
                  <c:v>4.9995718854621964</c:v>
                </c:pt>
                <c:pt idx="93">
                  <c:v>4.9995505135060814</c:v>
                </c:pt>
                <c:pt idx="94">
                  <c:v>4.9995225415499673</c:v>
                </c:pt>
                <c:pt idx="95">
                  <c:v>4.9994883029271868</c:v>
                </c:pt>
                <c:pt idx="96">
                  <c:v>4.999448180971072</c:v>
                </c:pt>
                <c:pt idx="97">
                  <c:v>4.9994025756816249</c:v>
                </c:pt>
                <c:pt idx="98">
                  <c:v>4.9993518703921769</c:v>
                </c:pt>
                <c:pt idx="99">
                  <c:v>4.9993764886224836</c:v>
                </c:pt>
                <c:pt idx="100">
                  <c:v>4.9993968235194579</c:v>
                </c:pt>
                <c:pt idx="101">
                  <c:v>4.9994133084164316</c:v>
                </c:pt>
                <c:pt idx="102">
                  <c:v>4.9994263933134055</c:v>
                </c:pt>
                <c:pt idx="103">
                  <c:v>4.9994364948770444</c:v>
                </c:pt>
                <c:pt idx="104">
                  <c:v>4.9994440797740189</c:v>
                </c:pt>
                <c:pt idx="105">
                  <c:v>4.9994495980043254</c:v>
                </c:pt>
                <c:pt idx="106">
                  <c:v>4.9994534995679656</c:v>
                </c:pt>
                <c:pt idx="107">
                  <c:v>4.9994562344649394</c:v>
                </c:pt>
                <c:pt idx="108">
                  <c:v>4.9994582693619121</c:v>
                </c:pt>
                <c:pt idx="109">
                  <c:v>4.9994600875922197</c:v>
                </c:pt>
                <c:pt idx="110">
                  <c:v>4.9994621224891933</c:v>
                </c:pt>
                <c:pt idx="111">
                  <c:v>4.999464857386168</c:v>
                </c:pt>
                <c:pt idx="112">
                  <c:v>4.9994687589498072</c:v>
                </c:pt>
                <c:pt idx="113">
                  <c:v>4.9994742605134466</c:v>
                </c:pt>
                <c:pt idx="114">
                  <c:v>4.999481845410422</c:v>
                </c:pt>
                <c:pt idx="115">
                  <c:v>4.9994919469740617</c:v>
                </c:pt>
                <c:pt idx="116">
                  <c:v>4.9995050152043685</c:v>
                </c:pt>
                <c:pt idx="117">
                  <c:v>4.9995215001013422</c:v>
                </c:pt>
                <c:pt idx="118">
                  <c:v>4.9995418349983156</c:v>
                </c:pt>
                <c:pt idx="119">
                  <c:v>4.9995664365619561</c:v>
                </c:pt>
                <c:pt idx="120">
                  <c:v>4.9995957381255964</c:v>
                </c:pt>
                <c:pt idx="121">
                  <c:v>4.9996301230225697</c:v>
                </c:pt>
                <c:pt idx="122">
                  <c:v>4.9996700079195442</c:v>
                </c:pt>
                <c:pt idx="123">
                  <c:v>4.9997157761498503</c:v>
                </c:pt>
                <c:pt idx="124">
                  <c:v>4.9997677943801575</c:v>
                </c:pt>
                <c:pt idx="125">
                  <c:v>4.9998264292771308</c:v>
                </c:pt>
                <c:pt idx="126">
                  <c:v>4.9998920308407717</c:v>
                </c:pt>
                <c:pt idx="127">
                  <c:v>4.9999649157377446</c:v>
                </c:pt>
                <c:pt idx="128">
                  <c:v>5.0000454006347184</c:v>
                </c:pt>
                <c:pt idx="129">
                  <c:v>5.0001337855316912</c:v>
                </c:pt>
                <c:pt idx="130">
                  <c:v>5.0002303370953323</c:v>
                </c:pt>
                <c:pt idx="131">
                  <c:v>5.0003353219923055</c:v>
                </c:pt>
                <c:pt idx="132">
                  <c:v>5.0004489735559456</c:v>
                </c:pt>
                <c:pt idx="133">
                  <c:v>5.0005715084529205</c:v>
                </c:pt>
                <c:pt idx="134">
                  <c:v>5.0007030933498937</c:v>
                </c:pt>
                <c:pt idx="135">
                  <c:v>5.0008438949135341</c:v>
                </c:pt>
                <c:pt idx="136">
                  <c:v>5.0009940131438411</c:v>
                </c:pt>
                <c:pt idx="137">
                  <c:v>5.0011535480408149</c:v>
                </c:pt>
                <c:pt idx="138">
                  <c:v>5.0013224996044547</c:v>
                </c:pt>
                <c:pt idx="139">
                  <c:v>5.0015008345014289</c:v>
                </c:pt>
                <c:pt idx="140">
                  <c:v>5.001462984501428</c:v>
                </c:pt>
                <c:pt idx="141">
                  <c:v>5.0014341178347612</c:v>
                </c:pt>
                <c:pt idx="142">
                  <c:v>5.001413801168094</c:v>
                </c:pt>
                <c:pt idx="143">
                  <c:v>5.0014012845014282</c:v>
                </c:pt>
                <c:pt idx="144">
                  <c:v>5.0013952845014282</c:v>
                </c:pt>
                <c:pt idx="145">
                  <c:v>5.0013936511680948</c:v>
                </c:pt>
                <c:pt idx="146">
                  <c:v>5.0013936511680948</c:v>
                </c:pt>
                <c:pt idx="147">
                  <c:v>5.0013936511680948</c:v>
                </c:pt>
                <c:pt idx="148">
                  <c:v>5.0013936511680948</c:v>
                </c:pt>
                <c:pt idx="149">
                  <c:v>5.0013936511680948</c:v>
                </c:pt>
                <c:pt idx="150">
                  <c:v>5.0013936511680948</c:v>
                </c:pt>
                <c:pt idx="151">
                  <c:v>5.0013936511680948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A02-4D4B-B79E-D53997F0B2C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58235792"/>
        <c:axId val="558235472"/>
      </c:scatterChart>
      <c:valAx>
        <c:axId val="46012193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h:mm;@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0119376"/>
        <c:crosses val="autoZero"/>
        <c:crossBetween val="midCat"/>
      </c:valAx>
      <c:valAx>
        <c:axId val="4601193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0121936"/>
        <c:crosses val="autoZero"/>
        <c:crossBetween val="midCat"/>
      </c:valAx>
      <c:valAx>
        <c:axId val="558235472"/>
        <c:scaling>
          <c:orientation val="minMax"/>
          <c:max val="5.0049999999999999"/>
          <c:min val="4.99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58235792"/>
        <c:crosses val="max"/>
        <c:crossBetween val="midCat"/>
      </c:valAx>
      <c:valAx>
        <c:axId val="558235792"/>
        <c:scaling>
          <c:orientation val="minMax"/>
        </c:scaling>
        <c:delete val="1"/>
        <c:axPos val="b"/>
        <c:numFmt formatCode="yyyy/m/d\ h:mm;@" sourceLinked="1"/>
        <c:majorTickMark val="out"/>
        <c:minorTickMark val="none"/>
        <c:tickLblPos val="nextTo"/>
        <c:crossAx val="558235472"/>
        <c:crossBetween val="midCat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29989832487252593"/>
          <c:y val="0.91228773521953821"/>
          <c:w val="0.60170239729853547"/>
          <c:h val="5.7203790204190579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.xml"/><Relationship Id="rId2" Type="http://schemas.openxmlformats.org/officeDocument/2006/relationships/chart" Target="../charts/chart6.xml"/><Relationship Id="rId1" Type="http://schemas.openxmlformats.org/officeDocument/2006/relationships/chart" Target="../charts/chart5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6350</xdr:colOff>
          <xdr:row>1</xdr:row>
          <xdr:rowOff>6350</xdr:rowOff>
        </xdr:from>
        <xdr:to>
          <xdr:col>12</xdr:col>
          <xdr:colOff>6350</xdr:colOff>
          <xdr:row>2</xdr:row>
          <xdr:rowOff>6350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PB,Ps,PMデータ更新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571500</xdr:colOff>
      <xdr:row>59</xdr:row>
      <xdr:rowOff>111579</xdr:rowOff>
    </xdr:from>
    <xdr:to>
      <xdr:col>12</xdr:col>
      <xdr:colOff>625929</xdr:colOff>
      <xdr:row>71</xdr:row>
      <xdr:rowOff>133350</xdr:rowOff>
    </xdr:to>
    <xdr:graphicFrame macro="">
      <xdr:nvGraphicFramePr>
        <xdr:cNvPr id="5" name="グラフ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553358</xdr:colOff>
      <xdr:row>8</xdr:row>
      <xdr:rowOff>211666</xdr:rowOff>
    </xdr:from>
    <xdr:to>
      <xdr:col>15</xdr:col>
      <xdr:colOff>539750</xdr:colOff>
      <xdr:row>24</xdr:row>
      <xdr:rowOff>190499</xdr:rowOff>
    </xdr:to>
    <xdr:graphicFrame macro="">
      <xdr:nvGraphicFramePr>
        <xdr:cNvPr id="9" name="グラフ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619125</xdr:colOff>
      <xdr:row>59</xdr:row>
      <xdr:rowOff>152400</xdr:rowOff>
    </xdr:from>
    <xdr:to>
      <xdr:col>23</xdr:col>
      <xdr:colOff>407459</xdr:colOff>
      <xdr:row>71</xdr:row>
      <xdr:rowOff>101600</xdr:rowOff>
    </xdr:to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116416</xdr:colOff>
      <xdr:row>9</xdr:row>
      <xdr:rowOff>52917</xdr:rowOff>
    </xdr:from>
    <xdr:to>
      <xdr:col>23</xdr:col>
      <xdr:colOff>529167</xdr:colOff>
      <xdr:row>22</xdr:row>
      <xdr:rowOff>127000</xdr:rowOff>
    </xdr:to>
    <xdr:graphicFrame macro="">
      <xdr:nvGraphicFramePr>
        <xdr:cNvPr id="6" name="グラフ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654050</xdr:colOff>
          <xdr:row>1</xdr:row>
          <xdr:rowOff>6350</xdr:rowOff>
        </xdr:from>
        <xdr:to>
          <xdr:col>17</xdr:col>
          <xdr:colOff>6350</xdr:colOff>
          <xdr:row>2</xdr:row>
          <xdr:rowOff>19050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Day1_2へ(値を)反映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</xdr:colOff>
          <xdr:row>1</xdr:row>
          <xdr:rowOff>0</xdr:rowOff>
        </xdr:from>
        <xdr:to>
          <xdr:col>11</xdr:col>
          <xdr:colOff>654050</xdr:colOff>
          <xdr:row>1</xdr:row>
          <xdr:rowOff>215900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1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PB,Ps,PMデータ追加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19050</xdr:colOff>
          <xdr:row>0</xdr:row>
          <xdr:rowOff>196850</xdr:rowOff>
        </xdr:from>
        <xdr:to>
          <xdr:col>15</xdr:col>
          <xdr:colOff>344714</xdr:colOff>
          <xdr:row>2</xdr:row>
          <xdr:rowOff>18143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1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Day1_2へ(値の)反映</a:t>
              </a:r>
            </a:p>
          </xdr:txBody>
        </xdr:sp>
        <xdr:clientData fPrintsWithSheet="0"/>
      </xdr:twoCellAnchor>
    </mc:Choice>
    <mc:Fallback/>
  </mc:AlternateContent>
  <xdr:twoCellAnchor>
    <xdr:from>
      <xdr:col>8</xdr:col>
      <xdr:colOff>281214</xdr:colOff>
      <xdr:row>3</xdr:row>
      <xdr:rowOff>199572</xdr:rowOff>
    </xdr:from>
    <xdr:to>
      <xdr:col>14</xdr:col>
      <xdr:colOff>127000</xdr:colOff>
      <xdr:row>5</xdr:row>
      <xdr:rowOff>163285</xdr:rowOff>
    </xdr:to>
    <xdr:sp macro="" textlink="">
      <xdr:nvSpPr>
        <xdr:cNvPr id="2" name="テキスト ボックス 1">
          <a:extLst>
            <a:ext uri="{FF2B5EF4-FFF2-40B4-BE49-F238E27FC236}">
              <a16:creationId xmlns:a16="http://schemas.microsoft.com/office/drawing/2014/main" id="{A8FE22CB-38AE-4681-B266-A0C7E73C129B}"/>
            </a:ext>
          </a:extLst>
        </xdr:cNvPr>
        <xdr:cNvSpPr txBox="1"/>
      </xdr:nvSpPr>
      <xdr:spPr>
        <a:xfrm>
          <a:off x="7647214" y="879929"/>
          <a:ext cx="3819072" cy="41728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kumimoji="1" lang="ja-JP" altLang="en-US" sz="1100"/>
            <a:t>自動で前日のバッテリ残量が書き込まれるようにしたい</a:t>
          </a:r>
        </a:p>
      </xdr:txBody>
    </xdr:sp>
    <xdr:clientData/>
  </xdr:twoCellAnchor>
  <xdr:twoCellAnchor>
    <xdr:from>
      <xdr:col>7</xdr:col>
      <xdr:colOff>535214</xdr:colOff>
      <xdr:row>2</xdr:row>
      <xdr:rowOff>172358</xdr:rowOff>
    </xdr:from>
    <xdr:to>
      <xdr:col>8</xdr:col>
      <xdr:colOff>281214</xdr:colOff>
      <xdr:row>4</xdr:row>
      <xdr:rowOff>181429</xdr:rowOff>
    </xdr:to>
    <xdr:cxnSp macro="">
      <xdr:nvCxnSpPr>
        <xdr:cNvPr id="4" name="直線コネクタ 3">
          <a:extLst>
            <a:ext uri="{FF2B5EF4-FFF2-40B4-BE49-F238E27FC236}">
              <a16:creationId xmlns:a16="http://schemas.microsoft.com/office/drawing/2014/main" id="{4167BA38-B2C3-4F93-B94C-002E2C1F09A2}"/>
            </a:ext>
          </a:extLst>
        </xdr:cNvPr>
        <xdr:cNvCxnSpPr>
          <a:endCxn id="2" idx="1"/>
        </xdr:cNvCxnSpPr>
      </xdr:nvCxnSpPr>
      <xdr:spPr>
        <a:xfrm>
          <a:off x="6966857" y="625929"/>
          <a:ext cx="680357" cy="462643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825500</xdr:colOff>
      <xdr:row>138</xdr:row>
      <xdr:rowOff>111579</xdr:rowOff>
    </xdr:from>
    <xdr:to>
      <xdr:col>11</xdr:col>
      <xdr:colOff>199572</xdr:colOff>
      <xdr:row>150</xdr:row>
      <xdr:rowOff>133350</xdr:rowOff>
    </xdr:to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46AE0A79-748C-45C7-B484-2C3407B9963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317500</xdr:colOff>
      <xdr:row>138</xdr:row>
      <xdr:rowOff>111579</xdr:rowOff>
    </xdr:from>
    <xdr:to>
      <xdr:col>11</xdr:col>
      <xdr:colOff>408214</xdr:colOff>
      <xdr:row>150</xdr:row>
      <xdr:rowOff>133350</xdr:rowOff>
    </xdr:to>
    <xdr:graphicFrame macro="">
      <xdr:nvGraphicFramePr>
        <xdr:cNvPr id="4" name="グラフ 3">
          <a:extLst>
            <a:ext uri="{FF2B5EF4-FFF2-40B4-BE49-F238E27FC236}">
              <a16:creationId xmlns:a16="http://schemas.microsoft.com/office/drawing/2014/main" id="{624FC660-50DA-41CB-A611-95876FEF62F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10</xdr:col>
      <xdr:colOff>553356</xdr:colOff>
      <xdr:row>6</xdr:row>
      <xdr:rowOff>117929</xdr:rowOff>
    </xdr:from>
    <xdr:to>
      <xdr:col>19</xdr:col>
      <xdr:colOff>18143</xdr:colOff>
      <xdr:row>23</xdr:row>
      <xdr:rowOff>9072</xdr:rowOff>
    </xdr:to>
    <xdr:graphicFrame macro="">
      <xdr:nvGraphicFramePr>
        <xdr:cNvPr id="5" name="グラフ 4">
          <a:extLst>
            <a:ext uri="{FF2B5EF4-FFF2-40B4-BE49-F238E27FC236}">
              <a16:creationId xmlns:a16="http://schemas.microsoft.com/office/drawing/2014/main" id="{9734C962-FAB1-481F-A5B0-09C654B5449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ctrlProp" Target="../ctrlProps/ctrlProp4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71A3A3-598B-4E95-89A2-51FFC810ACE5}">
  <sheetPr codeName="Sheet1"/>
  <dimension ref="A1:W78"/>
  <sheetViews>
    <sheetView zoomScale="70" zoomScaleNormal="70" zoomScaleSheetLayoutView="80" workbookViewId="0">
      <selection activeCell="C5" sqref="C5:G5"/>
    </sheetView>
  </sheetViews>
  <sheetFormatPr defaultRowHeight="18" x14ac:dyDescent="0.55000000000000004"/>
  <cols>
    <col min="1" max="1" width="9.75" customWidth="1"/>
    <col min="2" max="2" width="15" customWidth="1"/>
    <col min="3" max="4" width="15.6640625" customWidth="1"/>
    <col min="5" max="5" width="8.75" bestFit="1" customWidth="1"/>
    <col min="6" max="6" width="9.4140625" customWidth="1"/>
    <col min="7" max="7" width="8.75" bestFit="1" customWidth="1"/>
    <col min="10" max="10" width="16.4140625" bestFit="1" customWidth="1"/>
    <col min="11" max="11" width="17.75" customWidth="1"/>
    <col min="12" max="14" width="8.75" bestFit="1" customWidth="1"/>
    <col min="19" max="19" width="16.9140625" bestFit="1" customWidth="1"/>
    <col min="20" max="20" width="17.6640625" customWidth="1"/>
    <col min="21" max="21" width="11" customWidth="1"/>
  </cols>
  <sheetData>
    <row r="1" spans="1:23" x14ac:dyDescent="0.55000000000000004">
      <c r="A1" t="s">
        <v>1</v>
      </c>
    </row>
    <row r="2" spans="1:23" x14ac:dyDescent="0.55000000000000004">
      <c r="A2" s="2" t="s">
        <v>2</v>
      </c>
      <c r="B2" s="1" t="s">
        <v>3</v>
      </c>
      <c r="C2" s="2" t="s">
        <v>2</v>
      </c>
      <c r="D2" s="1" t="s">
        <v>4</v>
      </c>
      <c r="F2" s="5" t="s">
        <v>15</v>
      </c>
      <c r="G2" s="4" t="s">
        <v>9</v>
      </c>
      <c r="H2" s="1" t="s">
        <v>9</v>
      </c>
    </row>
    <row r="3" spans="1:23" x14ac:dyDescent="0.55000000000000004">
      <c r="A3" s="1" t="s">
        <v>5</v>
      </c>
      <c r="B3" s="1" t="s">
        <v>0</v>
      </c>
      <c r="C3" s="1" t="s">
        <v>5</v>
      </c>
      <c r="D3" s="1" t="s">
        <v>0</v>
      </c>
    </row>
    <row r="4" spans="1:23" x14ac:dyDescent="0.55000000000000004">
      <c r="A4" s="1"/>
      <c r="B4" s="1"/>
      <c r="C4" s="1"/>
      <c r="D4" s="1"/>
      <c r="J4" s="9" t="s">
        <v>19</v>
      </c>
      <c r="K4" s="9"/>
      <c r="L4" s="9"/>
      <c r="M4" s="9"/>
      <c r="N4" s="9"/>
      <c r="S4" s="10" t="s">
        <v>18</v>
      </c>
      <c r="T4" s="10"/>
      <c r="U4" s="10"/>
      <c r="V4" s="10"/>
      <c r="W4" s="10"/>
    </row>
    <row r="5" spans="1:23" x14ac:dyDescent="0.55000000000000004">
      <c r="A5" t="s">
        <v>7</v>
      </c>
      <c r="B5" s="3" t="s">
        <v>8</v>
      </c>
      <c r="C5" t="s">
        <v>16</v>
      </c>
      <c r="D5" t="s">
        <v>11</v>
      </c>
      <c r="E5" t="s">
        <v>12</v>
      </c>
      <c r="F5" t="s">
        <v>13</v>
      </c>
      <c r="G5" t="s">
        <v>14</v>
      </c>
      <c r="J5" t="s">
        <v>6</v>
      </c>
      <c r="K5" t="s">
        <v>10</v>
      </c>
      <c r="L5" t="s">
        <v>12</v>
      </c>
      <c r="M5" t="s">
        <v>13</v>
      </c>
      <c r="N5" t="s">
        <v>14</v>
      </c>
      <c r="S5" t="s">
        <v>8</v>
      </c>
      <c r="T5" t="s">
        <v>10</v>
      </c>
      <c r="U5" t="s">
        <v>20</v>
      </c>
      <c r="V5" t="s">
        <v>21</v>
      </c>
      <c r="W5" t="s">
        <v>22</v>
      </c>
    </row>
    <row r="6" spans="1:23" x14ac:dyDescent="0.55000000000000004">
      <c r="A6">
        <v>1</v>
      </c>
      <c r="B6" s="3">
        <v>43751.25</v>
      </c>
      <c r="C6">
        <f>D6/3600</f>
        <v>4999.9986388888892</v>
      </c>
      <c r="D6">
        <f>5000*3600-E6</f>
        <v>17999995.100000001</v>
      </c>
      <c r="E6">
        <f>F6+G6</f>
        <v>4.9000000000000004</v>
      </c>
      <c r="F6">
        <v>4.9000000000000004</v>
      </c>
      <c r="G6" s="6">
        <v>0</v>
      </c>
      <c r="J6" s="3">
        <f>B6</f>
        <v>43751.25</v>
      </c>
      <c r="K6">
        <f t="shared" ref="K6:K37" si="0">C6/1000</f>
        <v>4.9999986388888891</v>
      </c>
      <c r="L6">
        <f t="shared" ref="L6:L37" si="1">E6</f>
        <v>4.9000000000000004</v>
      </c>
      <c r="M6">
        <f t="shared" ref="M6:M37" si="2">F6</f>
        <v>4.9000000000000004</v>
      </c>
      <c r="N6">
        <f t="shared" ref="N6:N37" si="3">G6</f>
        <v>0</v>
      </c>
      <c r="S6" s="3">
        <v>43751.25</v>
      </c>
      <c r="T6">
        <v>4.9999986388888891</v>
      </c>
      <c r="U6">
        <v>4.9000000000000004</v>
      </c>
      <c r="V6">
        <v>4.9000000000000004</v>
      </c>
      <c r="W6">
        <v>0</v>
      </c>
    </row>
    <row r="7" spans="1:23" x14ac:dyDescent="0.55000000000000004">
      <c r="A7">
        <v>2</v>
      </c>
      <c r="B7" s="3">
        <v>43751.256944444445</v>
      </c>
      <c r="C7">
        <f t="shared" ref="C7:C70" si="4">D7/3600</f>
        <v>4999.9949999999999</v>
      </c>
      <c r="D7">
        <f t="shared" ref="D7:D70" si="5">5000*3600-E7</f>
        <v>17999982</v>
      </c>
      <c r="E7">
        <f>F7+G7</f>
        <v>18</v>
      </c>
      <c r="F7">
        <v>18</v>
      </c>
      <c r="G7" s="6">
        <v>0</v>
      </c>
      <c r="J7" s="3">
        <f>B7</f>
        <v>43751.256944444445</v>
      </c>
      <c r="K7">
        <f t="shared" si="0"/>
        <v>4.9999950000000002</v>
      </c>
      <c r="L7">
        <f t="shared" si="1"/>
        <v>18</v>
      </c>
      <c r="M7">
        <f t="shared" si="2"/>
        <v>18</v>
      </c>
      <c r="N7">
        <f t="shared" si="3"/>
        <v>0</v>
      </c>
      <c r="S7" s="3">
        <v>43751.256944444445</v>
      </c>
      <c r="T7">
        <v>4.9999950000000002</v>
      </c>
      <c r="U7">
        <v>18</v>
      </c>
      <c r="V7">
        <v>18</v>
      </c>
      <c r="W7">
        <v>0</v>
      </c>
    </row>
    <row r="8" spans="1:23" x14ac:dyDescent="0.55000000000000004">
      <c r="A8">
        <v>3</v>
      </c>
      <c r="B8" s="3">
        <v>43751.263888888891</v>
      </c>
      <c r="C8">
        <f t="shared" si="4"/>
        <v>4999.989569444444</v>
      </c>
      <c r="D8">
        <f>5000*3600-E8</f>
        <v>17999962.449999999</v>
      </c>
      <c r="E8">
        <f t="shared" ref="E8:E71" si="6">F8+G8</f>
        <v>37.549999999999997</v>
      </c>
      <c r="F8">
        <v>37.549999999999997</v>
      </c>
      <c r="G8" s="6">
        <v>0</v>
      </c>
      <c r="J8" s="3">
        <f t="shared" ref="J8:J71" si="7">B8</f>
        <v>43751.263888888891</v>
      </c>
      <c r="K8">
        <f t="shared" si="0"/>
        <v>4.9999895694444438</v>
      </c>
      <c r="L8">
        <f t="shared" si="1"/>
        <v>37.549999999999997</v>
      </c>
      <c r="M8">
        <f t="shared" si="2"/>
        <v>37.549999999999997</v>
      </c>
      <c r="N8">
        <f t="shared" si="3"/>
        <v>0</v>
      </c>
      <c r="S8" s="3">
        <v>43751.263888888891</v>
      </c>
      <c r="T8">
        <v>4.9999895694444438</v>
      </c>
      <c r="U8">
        <v>37.549999999999997</v>
      </c>
      <c r="V8">
        <v>37.549999999999997</v>
      </c>
      <c r="W8">
        <v>0</v>
      </c>
    </row>
    <row r="9" spans="1:23" x14ac:dyDescent="0.55000000000000004">
      <c r="A9">
        <v>4</v>
      </c>
      <c r="B9" s="3">
        <v>43751.270833333336</v>
      </c>
      <c r="C9">
        <f t="shared" si="4"/>
        <v>4999.9830833333335</v>
      </c>
      <c r="D9">
        <f t="shared" si="5"/>
        <v>17999939.100000001</v>
      </c>
      <c r="E9">
        <f t="shared" si="6"/>
        <v>60.9</v>
      </c>
      <c r="F9">
        <v>60.9</v>
      </c>
      <c r="G9" s="6">
        <v>0</v>
      </c>
      <c r="J9" s="3">
        <f t="shared" si="7"/>
        <v>43751.270833333336</v>
      </c>
      <c r="K9">
        <f t="shared" si="0"/>
        <v>4.9999830833333334</v>
      </c>
      <c r="L9">
        <f t="shared" si="1"/>
        <v>60.9</v>
      </c>
      <c r="M9">
        <f t="shared" si="2"/>
        <v>60.9</v>
      </c>
      <c r="N9">
        <f t="shared" si="3"/>
        <v>0</v>
      </c>
      <c r="S9" s="3">
        <v>43751.270833333336</v>
      </c>
      <c r="T9">
        <v>4.9999830833333334</v>
      </c>
      <c r="U9">
        <v>60.9</v>
      </c>
      <c r="V9">
        <v>60.9</v>
      </c>
      <c r="W9">
        <v>0</v>
      </c>
    </row>
    <row r="10" spans="1:23" x14ac:dyDescent="0.55000000000000004">
      <c r="A10">
        <v>5</v>
      </c>
      <c r="B10" s="3">
        <v>43751.277777777781</v>
      </c>
      <c r="C10">
        <f t="shared" si="4"/>
        <v>4999.9759583333334</v>
      </c>
      <c r="D10">
        <f>5000*3600-E10</f>
        <v>17999913.449999999</v>
      </c>
      <c r="E10">
        <f t="shared" si="6"/>
        <v>86.55</v>
      </c>
      <c r="F10">
        <v>86.55</v>
      </c>
      <c r="G10" s="6">
        <v>0</v>
      </c>
      <c r="J10" s="3">
        <f t="shared" si="7"/>
        <v>43751.277777777781</v>
      </c>
      <c r="K10">
        <f t="shared" si="0"/>
        <v>4.9999759583333336</v>
      </c>
      <c r="L10">
        <f t="shared" si="1"/>
        <v>86.55</v>
      </c>
      <c r="M10">
        <f t="shared" si="2"/>
        <v>86.55</v>
      </c>
      <c r="N10">
        <f t="shared" si="3"/>
        <v>0</v>
      </c>
      <c r="S10" s="3">
        <v>43751.277777777781</v>
      </c>
      <c r="T10">
        <v>4.9999759583333336</v>
      </c>
      <c r="U10">
        <v>86.55</v>
      </c>
      <c r="V10">
        <v>86.55</v>
      </c>
      <c r="W10">
        <v>0</v>
      </c>
    </row>
    <row r="11" spans="1:23" x14ac:dyDescent="0.55000000000000004">
      <c r="A11">
        <v>6</v>
      </c>
      <c r="B11" s="3">
        <v>43751.284722222219</v>
      </c>
      <c r="C11">
        <f t="shared" si="4"/>
        <v>4999.9684583333328</v>
      </c>
      <c r="D11">
        <f t="shared" si="5"/>
        <v>17999886.449999999</v>
      </c>
      <c r="E11">
        <f t="shared" si="6"/>
        <v>113.55</v>
      </c>
      <c r="F11">
        <v>113.55</v>
      </c>
      <c r="G11" s="6">
        <v>0</v>
      </c>
      <c r="J11" s="3">
        <f t="shared" si="7"/>
        <v>43751.284722222219</v>
      </c>
      <c r="K11">
        <f t="shared" si="0"/>
        <v>4.999968458333333</v>
      </c>
      <c r="L11">
        <f t="shared" si="1"/>
        <v>113.55</v>
      </c>
      <c r="M11">
        <f t="shared" si="2"/>
        <v>113.55</v>
      </c>
      <c r="N11">
        <f t="shared" si="3"/>
        <v>0</v>
      </c>
      <c r="S11" s="3">
        <v>43751.284722222219</v>
      </c>
      <c r="T11">
        <v>4.999968458333333</v>
      </c>
      <c r="U11">
        <v>113.55</v>
      </c>
      <c r="V11">
        <v>113.55</v>
      </c>
      <c r="W11">
        <v>0</v>
      </c>
    </row>
    <row r="12" spans="1:23" x14ac:dyDescent="0.55000000000000004">
      <c r="A12">
        <v>7</v>
      </c>
      <c r="B12" s="3">
        <v>43751.291666666664</v>
      </c>
      <c r="C12">
        <f t="shared" si="4"/>
        <v>4999.9607500000002</v>
      </c>
      <c r="D12">
        <f t="shared" si="5"/>
        <v>17999858.699999999</v>
      </c>
      <c r="E12">
        <f t="shared" si="6"/>
        <v>141.30000000000001</v>
      </c>
      <c r="F12">
        <v>141.30000000000001</v>
      </c>
      <c r="G12" s="6">
        <v>0</v>
      </c>
      <c r="J12" s="3">
        <f t="shared" si="7"/>
        <v>43751.291666666664</v>
      </c>
      <c r="K12">
        <f t="shared" si="0"/>
        <v>4.9999607500000005</v>
      </c>
      <c r="L12">
        <f t="shared" si="1"/>
        <v>141.30000000000001</v>
      </c>
      <c r="M12">
        <f t="shared" si="2"/>
        <v>141.30000000000001</v>
      </c>
      <c r="N12">
        <f t="shared" si="3"/>
        <v>0</v>
      </c>
      <c r="S12" s="3">
        <v>43751.291666666664</v>
      </c>
      <c r="T12">
        <v>4.9999607500000005</v>
      </c>
      <c r="U12">
        <v>141.30000000000001</v>
      </c>
      <c r="V12">
        <v>141.30000000000001</v>
      </c>
      <c r="W12">
        <v>0</v>
      </c>
    </row>
    <row r="13" spans="1:23" x14ac:dyDescent="0.55000000000000004">
      <c r="A13">
        <v>8</v>
      </c>
      <c r="B13" s="3">
        <v>43751.298611111109</v>
      </c>
      <c r="C13">
        <f t="shared" si="4"/>
        <v>4999.9529305555561</v>
      </c>
      <c r="D13">
        <f t="shared" si="5"/>
        <v>17999830.550000001</v>
      </c>
      <c r="E13">
        <f t="shared" si="6"/>
        <v>169.45</v>
      </c>
      <c r="F13">
        <v>169.45</v>
      </c>
      <c r="G13" s="6">
        <v>0</v>
      </c>
      <c r="J13" s="3">
        <f t="shared" si="7"/>
        <v>43751.298611111109</v>
      </c>
      <c r="K13">
        <f t="shared" si="0"/>
        <v>4.9999529305555566</v>
      </c>
      <c r="L13">
        <f t="shared" si="1"/>
        <v>169.45</v>
      </c>
      <c r="M13">
        <f t="shared" si="2"/>
        <v>169.45</v>
      </c>
      <c r="N13">
        <f t="shared" si="3"/>
        <v>0</v>
      </c>
      <c r="S13" s="3">
        <v>43751.298611111109</v>
      </c>
      <c r="T13">
        <v>4.9999529305555566</v>
      </c>
      <c r="U13">
        <v>169.45</v>
      </c>
      <c r="V13">
        <v>169.45</v>
      </c>
      <c r="W13">
        <v>0</v>
      </c>
    </row>
    <row r="14" spans="1:23" x14ac:dyDescent="0.55000000000000004">
      <c r="A14">
        <v>9</v>
      </c>
      <c r="B14" s="3">
        <v>43751.305555555555</v>
      </c>
      <c r="C14">
        <f t="shared" si="4"/>
        <v>4999.945069444444</v>
      </c>
      <c r="D14">
        <f t="shared" si="5"/>
        <v>17999802.25</v>
      </c>
      <c r="E14">
        <f t="shared" si="6"/>
        <v>197.75</v>
      </c>
      <c r="F14">
        <v>197.75</v>
      </c>
      <c r="G14" s="6">
        <v>0</v>
      </c>
      <c r="J14" s="3">
        <f t="shared" si="7"/>
        <v>43751.305555555555</v>
      </c>
      <c r="K14">
        <f t="shared" si="0"/>
        <v>4.9999450694444443</v>
      </c>
      <c r="L14">
        <f t="shared" si="1"/>
        <v>197.75</v>
      </c>
      <c r="M14">
        <f t="shared" si="2"/>
        <v>197.75</v>
      </c>
      <c r="N14">
        <f t="shared" si="3"/>
        <v>0</v>
      </c>
      <c r="S14" s="3">
        <v>43751.305555555555</v>
      </c>
      <c r="T14">
        <v>4.9999450694444443</v>
      </c>
      <c r="U14">
        <v>197.75</v>
      </c>
      <c r="V14">
        <v>197.75</v>
      </c>
      <c r="W14">
        <v>0</v>
      </c>
    </row>
    <row r="15" spans="1:23" x14ac:dyDescent="0.55000000000000004">
      <c r="A15">
        <v>10</v>
      </c>
      <c r="B15" s="3">
        <v>43751.3125</v>
      </c>
      <c r="C15">
        <f t="shared" si="4"/>
        <v>4999.9372361111109</v>
      </c>
      <c r="D15">
        <f t="shared" si="5"/>
        <v>17999774.050000001</v>
      </c>
      <c r="E15">
        <f t="shared" si="6"/>
        <v>225.95</v>
      </c>
      <c r="F15">
        <v>225.95</v>
      </c>
      <c r="G15" s="6">
        <v>0</v>
      </c>
      <c r="J15" s="3">
        <f t="shared" si="7"/>
        <v>43751.3125</v>
      </c>
      <c r="K15">
        <f t="shared" si="0"/>
        <v>4.9999372361111112</v>
      </c>
      <c r="L15">
        <f t="shared" si="1"/>
        <v>225.95</v>
      </c>
      <c r="M15">
        <f t="shared" si="2"/>
        <v>225.95</v>
      </c>
      <c r="N15">
        <f t="shared" si="3"/>
        <v>0</v>
      </c>
      <c r="S15" s="3">
        <v>43751.3125</v>
      </c>
      <c r="T15">
        <v>4.9999372361111112</v>
      </c>
      <c r="U15">
        <v>225.95</v>
      </c>
      <c r="V15">
        <v>225.95</v>
      </c>
      <c r="W15">
        <v>0</v>
      </c>
    </row>
    <row r="16" spans="1:23" x14ac:dyDescent="0.55000000000000004">
      <c r="A16">
        <v>11</v>
      </c>
      <c r="B16" s="3">
        <v>43751.319444444445</v>
      </c>
      <c r="C16">
        <f t="shared" si="4"/>
        <v>4999.929458333334</v>
      </c>
      <c r="D16">
        <f t="shared" si="5"/>
        <v>17999746.050000001</v>
      </c>
      <c r="E16">
        <f t="shared" si="6"/>
        <v>253.95</v>
      </c>
      <c r="F16">
        <v>253.95</v>
      </c>
      <c r="G16" s="6">
        <v>0</v>
      </c>
      <c r="J16" s="3">
        <f t="shared" si="7"/>
        <v>43751.319444444445</v>
      </c>
      <c r="K16">
        <f t="shared" si="0"/>
        <v>4.9999294583333338</v>
      </c>
      <c r="L16">
        <f t="shared" si="1"/>
        <v>253.95</v>
      </c>
      <c r="M16">
        <f t="shared" si="2"/>
        <v>253.95</v>
      </c>
      <c r="N16">
        <f t="shared" si="3"/>
        <v>0</v>
      </c>
      <c r="S16" s="3">
        <v>43751.319444444445</v>
      </c>
      <c r="T16">
        <v>4.9999294583333338</v>
      </c>
      <c r="U16">
        <v>253.95</v>
      </c>
      <c r="V16">
        <v>253.95</v>
      </c>
      <c r="W16">
        <v>0</v>
      </c>
    </row>
    <row r="17" spans="1:23" x14ac:dyDescent="0.55000000000000004">
      <c r="A17">
        <v>12</v>
      </c>
      <c r="B17" s="3">
        <v>43751.326388888891</v>
      </c>
      <c r="C17">
        <f t="shared" si="4"/>
        <v>4999.9217916666666</v>
      </c>
      <c r="D17">
        <f t="shared" si="5"/>
        <v>17999718.449999999</v>
      </c>
      <c r="E17">
        <f t="shared" si="6"/>
        <v>281.55</v>
      </c>
      <c r="F17">
        <v>281.55</v>
      </c>
      <c r="G17" s="6">
        <v>0</v>
      </c>
      <c r="J17" s="3">
        <f t="shared" si="7"/>
        <v>43751.326388888891</v>
      </c>
      <c r="K17">
        <f t="shared" si="0"/>
        <v>4.9999217916666669</v>
      </c>
      <c r="L17">
        <f t="shared" si="1"/>
        <v>281.55</v>
      </c>
      <c r="M17">
        <f t="shared" si="2"/>
        <v>281.55</v>
      </c>
      <c r="N17">
        <f t="shared" si="3"/>
        <v>0</v>
      </c>
      <c r="S17" s="3">
        <v>43751.326388888891</v>
      </c>
      <c r="T17">
        <v>4.9999217916666669</v>
      </c>
      <c r="U17">
        <v>281.55</v>
      </c>
      <c r="V17">
        <v>281.55</v>
      </c>
      <c r="W17">
        <v>0</v>
      </c>
    </row>
    <row r="18" spans="1:23" x14ac:dyDescent="0.55000000000000004">
      <c r="A18">
        <v>13</v>
      </c>
      <c r="B18" s="3">
        <v>43751.333333333336</v>
      </c>
      <c r="C18">
        <f t="shared" si="4"/>
        <v>5000.1100730896587</v>
      </c>
      <c r="D18">
        <f t="shared" si="5"/>
        <v>18000396.263122771</v>
      </c>
      <c r="E18">
        <f t="shared" si="6"/>
        <v>-396.26312277163879</v>
      </c>
      <c r="F18">
        <v>308.75</v>
      </c>
      <c r="G18" s="6">
        <v>-705.01312277163879</v>
      </c>
      <c r="J18" s="3">
        <f t="shared" si="7"/>
        <v>43751.333333333336</v>
      </c>
      <c r="K18">
        <f t="shared" si="0"/>
        <v>5.000110073089659</v>
      </c>
      <c r="L18">
        <f t="shared" si="1"/>
        <v>-396.26312277163879</v>
      </c>
      <c r="M18">
        <f t="shared" si="2"/>
        <v>308.75</v>
      </c>
      <c r="N18">
        <f t="shared" si="3"/>
        <v>-705.01312277163879</v>
      </c>
      <c r="S18" s="3">
        <v>43751.333333333336</v>
      </c>
      <c r="T18">
        <v>5.000110073089659</v>
      </c>
      <c r="U18">
        <v>-396.26312277163879</v>
      </c>
      <c r="V18">
        <v>308.75</v>
      </c>
      <c r="W18">
        <v>-705.01312277163879</v>
      </c>
    </row>
    <row r="19" spans="1:23" x14ac:dyDescent="0.55000000000000004">
      <c r="A19">
        <v>14</v>
      </c>
      <c r="B19" s="3">
        <v>43751.340277777781</v>
      </c>
      <c r="C19">
        <f t="shared" si="4"/>
        <v>5000.1026842007705</v>
      </c>
      <c r="D19">
        <f t="shared" si="5"/>
        <v>18000369.663122773</v>
      </c>
      <c r="E19">
        <f t="shared" si="6"/>
        <v>-369.66312277163877</v>
      </c>
      <c r="F19">
        <v>335.35</v>
      </c>
      <c r="G19" s="6">
        <v>-705.01312277163879</v>
      </c>
      <c r="J19" s="3">
        <f t="shared" si="7"/>
        <v>43751.340277777781</v>
      </c>
      <c r="K19">
        <f t="shared" si="0"/>
        <v>5.0001026842007708</v>
      </c>
      <c r="L19">
        <f t="shared" si="1"/>
        <v>-369.66312277163877</v>
      </c>
      <c r="M19">
        <f t="shared" si="2"/>
        <v>335.35</v>
      </c>
      <c r="N19">
        <f t="shared" si="3"/>
        <v>-705.01312277163879</v>
      </c>
      <c r="S19" s="3">
        <v>43751.340277777781</v>
      </c>
      <c r="T19">
        <v>5.0001026842007708</v>
      </c>
      <c r="U19">
        <v>-369.66312277163877</v>
      </c>
      <c r="V19">
        <v>335.35</v>
      </c>
      <c r="W19">
        <v>-705.01312277163879</v>
      </c>
    </row>
    <row r="20" spans="1:23" x14ac:dyDescent="0.55000000000000004">
      <c r="A20">
        <v>15</v>
      </c>
      <c r="B20" s="3">
        <v>43751.347222222219</v>
      </c>
      <c r="C20">
        <f t="shared" si="4"/>
        <v>5000.095461978548</v>
      </c>
      <c r="D20">
        <f t="shared" si="5"/>
        <v>18000343.663122773</v>
      </c>
      <c r="E20">
        <f t="shared" si="6"/>
        <v>-343.66312277163877</v>
      </c>
      <c r="F20">
        <v>361.35</v>
      </c>
      <c r="G20" s="6">
        <v>-705.01312277163879</v>
      </c>
      <c r="J20" s="3">
        <f t="shared" si="7"/>
        <v>43751.347222222219</v>
      </c>
      <c r="K20">
        <f t="shared" si="0"/>
        <v>5.0000954619785478</v>
      </c>
      <c r="L20">
        <f t="shared" si="1"/>
        <v>-343.66312277163877</v>
      </c>
      <c r="M20">
        <f t="shared" si="2"/>
        <v>361.35</v>
      </c>
      <c r="N20">
        <f t="shared" si="3"/>
        <v>-705.01312277163879</v>
      </c>
      <c r="S20" s="3">
        <v>43751.347222222219</v>
      </c>
      <c r="T20">
        <v>5.0000954619785478</v>
      </c>
      <c r="U20">
        <v>-343.66312277163877</v>
      </c>
      <c r="V20">
        <v>361.35</v>
      </c>
      <c r="W20">
        <v>-705.01312277163879</v>
      </c>
    </row>
    <row r="21" spans="1:23" x14ac:dyDescent="0.55000000000000004">
      <c r="A21">
        <v>16</v>
      </c>
      <c r="B21" s="3">
        <v>43751.354166666664</v>
      </c>
      <c r="C21">
        <f t="shared" si="4"/>
        <v>5000.0884342007703</v>
      </c>
      <c r="D21">
        <f t="shared" si="5"/>
        <v>18000318.363122772</v>
      </c>
      <c r="E21">
        <f t="shared" si="6"/>
        <v>-318.36312277163881</v>
      </c>
      <c r="F21">
        <v>386.65</v>
      </c>
      <c r="G21" s="6">
        <v>-705.01312277163879</v>
      </c>
      <c r="J21" s="3">
        <f t="shared" si="7"/>
        <v>43751.354166666664</v>
      </c>
      <c r="K21">
        <f t="shared" si="0"/>
        <v>5.0000884342007703</v>
      </c>
      <c r="L21">
        <f t="shared" si="1"/>
        <v>-318.36312277163881</v>
      </c>
      <c r="M21">
        <f t="shared" si="2"/>
        <v>386.65</v>
      </c>
      <c r="N21">
        <f t="shared" si="3"/>
        <v>-705.01312277163879</v>
      </c>
      <c r="S21" s="3">
        <v>43751.354166666664</v>
      </c>
      <c r="T21">
        <v>5.0000884342007703</v>
      </c>
      <c r="U21">
        <v>-318.36312277163881</v>
      </c>
      <c r="V21">
        <v>386.65</v>
      </c>
      <c r="W21">
        <v>-705.01312277163879</v>
      </c>
    </row>
    <row r="22" spans="1:23" x14ac:dyDescent="0.55000000000000004">
      <c r="A22">
        <v>17</v>
      </c>
      <c r="B22" s="3">
        <v>43751.361111111109</v>
      </c>
      <c r="C22">
        <f t="shared" si="4"/>
        <v>5000.0816147563255</v>
      </c>
      <c r="D22">
        <f t="shared" si="5"/>
        <v>18000293.813122772</v>
      </c>
      <c r="E22">
        <f t="shared" si="6"/>
        <v>-293.8131227716388</v>
      </c>
      <c r="F22">
        <v>411.2</v>
      </c>
      <c r="G22" s="6">
        <v>-705.01312277163879</v>
      </c>
      <c r="J22" s="3">
        <f t="shared" si="7"/>
        <v>43751.361111111109</v>
      </c>
      <c r="K22">
        <f t="shared" si="0"/>
        <v>5.0000816147563256</v>
      </c>
      <c r="L22">
        <f t="shared" si="1"/>
        <v>-293.8131227716388</v>
      </c>
      <c r="M22">
        <f t="shared" si="2"/>
        <v>411.2</v>
      </c>
      <c r="N22">
        <f t="shared" si="3"/>
        <v>-705.01312277163879</v>
      </c>
      <c r="S22" s="3">
        <v>43751.361111111109</v>
      </c>
      <c r="T22">
        <v>5.0000816147563256</v>
      </c>
      <c r="U22">
        <v>-293.8131227716388</v>
      </c>
      <c r="V22">
        <v>411.2</v>
      </c>
      <c r="W22">
        <v>-705.01312277163879</v>
      </c>
    </row>
    <row r="23" spans="1:23" x14ac:dyDescent="0.55000000000000004">
      <c r="A23">
        <v>18</v>
      </c>
      <c r="B23" s="3">
        <v>43751.368055555555</v>
      </c>
      <c r="C23">
        <f t="shared" si="4"/>
        <v>5000.0750314229927</v>
      </c>
      <c r="D23">
        <f t="shared" si="5"/>
        <v>18000270.113122772</v>
      </c>
      <c r="E23">
        <f t="shared" si="6"/>
        <v>-270.11312277163881</v>
      </c>
      <c r="F23">
        <v>434.9</v>
      </c>
      <c r="G23" s="6">
        <v>-705.01312277163879</v>
      </c>
      <c r="J23" s="3">
        <f t="shared" si="7"/>
        <v>43751.368055555555</v>
      </c>
      <c r="K23">
        <f t="shared" si="0"/>
        <v>5.0000750314229929</v>
      </c>
      <c r="L23">
        <f t="shared" si="1"/>
        <v>-270.11312277163881</v>
      </c>
      <c r="M23">
        <f t="shared" si="2"/>
        <v>434.9</v>
      </c>
      <c r="N23">
        <f t="shared" si="3"/>
        <v>-705.01312277163879</v>
      </c>
      <c r="S23" s="3">
        <v>43751.368055555555</v>
      </c>
      <c r="T23">
        <v>5.0000750314229929</v>
      </c>
      <c r="U23">
        <v>-270.11312277163881</v>
      </c>
      <c r="V23">
        <v>434.9</v>
      </c>
      <c r="W23">
        <v>-705.01312277163879</v>
      </c>
    </row>
    <row r="24" spans="1:23" x14ac:dyDescent="0.55000000000000004">
      <c r="A24">
        <v>19</v>
      </c>
      <c r="B24" s="3">
        <v>43751.375</v>
      </c>
      <c r="C24">
        <f t="shared" si="4"/>
        <v>5000.0686980896589</v>
      </c>
      <c r="D24">
        <f t="shared" si="5"/>
        <v>18000247.313122772</v>
      </c>
      <c r="E24">
        <f t="shared" si="6"/>
        <v>-247.3131227716388</v>
      </c>
      <c r="F24">
        <v>457.7</v>
      </c>
      <c r="G24" s="6">
        <v>-705.01312277163879</v>
      </c>
      <c r="J24" s="3">
        <f t="shared" si="7"/>
        <v>43751.375</v>
      </c>
      <c r="K24">
        <f t="shared" si="0"/>
        <v>5.0000686980896587</v>
      </c>
      <c r="L24">
        <f t="shared" si="1"/>
        <v>-247.3131227716388</v>
      </c>
      <c r="M24">
        <f t="shared" si="2"/>
        <v>457.7</v>
      </c>
      <c r="N24">
        <f t="shared" si="3"/>
        <v>-705.01312277163879</v>
      </c>
      <c r="S24" s="3">
        <v>43751.375</v>
      </c>
      <c r="T24">
        <v>5.0000686980896587</v>
      </c>
      <c r="U24">
        <v>-247.3131227716388</v>
      </c>
      <c r="V24">
        <v>457.7</v>
      </c>
      <c r="W24">
        <v>-705.01312277163879</v>
      </c>
    </row>
    <row r="25" spans="1:23" x14ac:dyDescent="0.55000000000000004">
      <c r="A25">
        <v>20</v>
      </c>
      <c r="B25" s="3">
        <v>43751.381944444445</v>
      </c>
      <c r="C25">
        <f t="shared" si="4"/>
        <v>5000.0626286452143</v>
      </c>
      <c r="D25">
        <f t="shared" si="5"/>
        <v>18000225.46312277</v>
      </c>
      <c r="E25">
        <f t="shared" si="6"/>
        <v>-225.46312277163878</v>
      </c>
      <c r="F25">
        <v>479.55</v>
      </c>
      <c r="G25" s="6">
        <v>-705.01312277163879</v>
      </c>
      <c r="J25" s="3">
        <f t="shared" si="7"/>
        <v>43751.381944444445</v>
      </c>
      <c r="K25">
        <f t="shared" si="0"/>
        <v>5.0000626286452139</v>
      </c>
      <c r="L25">
        <f t="shared" si="1"/>
        <v>-225.46312277163878</v>
      </c>
      <c r="M25">
        <f t="shared" si="2"/>
        <v>479.55</v>
      </c>
      <c r="N25">
        <f t="shared" si="3"/>
        <v>-705.01312277163879</v>
      </c>
      <c r="S25" s="3">
        <v>43751.381944444445</v>
      </c>
      <c r="T25">
        <v>5.0000626286452139</v>
      </c>
      <c r="U25">
        <v>-225.46312277163878</v>
      </c>
      <c r="V25">
        <v>479.55</v>
      </c>
      <c r="W25">
        <v>-705.01312277163879</v>
      </c>
    </row>
    <row r="26" spans="1:23" x14ac:dyDescent="0.55000000000000004">
      <c r="A26">
        <v>21</v>
      </c>
      <c r="B26" s="3">
        <v>43751.388888888891</v>
      </c>
      <c r="C26">
        <f t="shared" si="4"/>
        <v>5000.0568230896588</v>
      </c>
      <c r="D26">
        <f t="shared" si="5"/>
        <v>18000204.563122772</v>
      </c>
      <c r="E26">
        <f t="shared" si="6"/>
        <v>-204.5631227716388</v>
      </c>
      <c r="F26">
        <v>500.45</v>
      </c>
      <c r="G26" s="6">
        <v>-705.01312277163879</v>
      </c>
      <c r="J26" s="3">
        <f t="shared" si="7"/>
        <v>43751.388888888891</v>
      </c>
      <c r="K26">
        <f t="shared" si="0"/>
        <v>5.0000568230896585</v>
      </c>
      <c r="L26">
        <f t="shared" si="1"/>
        <v>-204.5631227716388</v>
      </c>
      <c r="M26">
        <f t="shared" si="2"/>
        <v>500.45</v>
      </c>
      <c r="N26">
        <f t="shared" si="3"/>
        <v>-705.01312277163879</v>
      </c>
      <c r="S26" s="3">
        <v>43751.388888888891</v>
      </c>
      <c r="T26">
        <v>5.0000568230896585</v>
      </c>
      <c r="U26">
        <v>-204.5631227716388</v>
      </c>
      <c r="V26">
        <v>500.45</v>
      </c>
      <c r="W26">
        <v>-705.01312277163879</v>
      </c>
    </row>
    <row r="27" spans="1:23" x14ac:dyDescent="0.55000000000000004">
      <c r="A27">
        <v>22</v>
      </c>
      <c r="B27" s="3">
        <v>43751.395833333336</v>
      </c>
      <c r="C27">
        <f t="shared" si="4"/>
        <v>5000.0513230896586</v>
      </c>
      <c r="D27">
        <f t="shared" si="5"/>
        <v>18000184.763122771</v>
      </c>
      <c r="E27">
        <f t="shared" si="6"/>
        <v>-184.76312277163879</v>
      </c>
      <c r="F27">
        <v>520.25</v>
      </c>
      <c r="G27" s="6">
        <v>-705.01312277163879</v>
      </c>
      <c r="J27" s="3">
        <f t="shared" si="7"/>
        <v>43751.395833333336</v>
      </c>
      <c r="K27">
        <f t="shared" si="0"/>
        <v>5.0000513230896582</v>
      </c>
      <c r="L27">
        <f t="shared" si="1"/>
        <v>-184.76312277163879</v>
      </c>
      <c r="M27">
        <f t="shared" si="2"/>
        <v>520.25</v>
      </c>
      <c r="N27">
        <f t="shared" si="3"/>
        <v>-705.01312277163879</v>
      </c>
      <c r="S27" s="3">
        <v>43751.395833333336</v>
      </c>
      <c r="T27">
        <v>5.0000513230896582</v>
      </c>
      <c r="U27">
        <v>-184.76312277163879</v>
      </c>
      <c r="V27">
        <v>520.25</v>
      </c>
      <c r="W27">
        <v>-705.01312277163879</v>
      </c>
    </row>
    <row r="28" spans="1:23" x14ac:dyDescent="0.55000000000000004">
      <c r="A28">
        <v>23</v>
      </c>
      <c r="B28" s="3">
        <v>43751.402777777781</v>
      </c>
      <c r="C28">
        <f t="shared" si="4"/>
        <v>5000.0461008674365</v>
      </c>
      <c r="D28">
        <f t="shared" si="5"/>
        <v>18000165.96312277</v>
      </c>
      <c r="E28">
        <f t="shared" si="6"/>
        <v>-165.96312277163884</v>
      </c>
      <c r="F28">
        <v>539.04999999999995</v>
      </c>
      <c r="G28" s="6">
        <v>-705.01312277163879</v>
      </c>
      <c r="J28" s="3">
        <f t="shared" si="7"/>
        <v>43751.402777777781</v>
      </c>
      <c r="K28">
        <f t="shared" si="0"/>
        <v>5.0000461008674364</v>
      </c>
      <c r="L28">
        <f t="shared" si="1"/>
        <v>-165.96312277163884</v>
      </c>
      <c r="M28">
        <f t="shared" si="2"/>
        <v>539.04999999999995</v>
      </c>
      <c r="N28">
        <f t="shared" si="3"/>
        <v>-705.01312277163879</v>
      </c>
      <c r="S28" s="3">
        <v>43751.402777777781</v>
      </c>
      <c r="T28">
        <v>5.0000461008674364</v>
      </c>
      <c r="U28">
        <v>-165.96312277163884</v>
      </c>
      <c r="V28">
        <v>539.04999999999995</v>
      </c>
      <c r="W28">
        <v>-705.01312277163879</v>
      </c>
    </row>
    <row r="29" spans="1:23" x14ac:dyDescent="0.55000000000000004">
      <c r="A29">
        <v>24</v>
      </c>
      <c r="B29" s="3">
        <v>43751.409722222219</v>
      </c>
      <c r="C29">
        <f t="shared" si="4"/>
        <v>5000.0411980896588</v>
      </c>
      <c r="D29">
        <f t="shared" si="5"/>
        <v>18000148.313122772</v>
      </c>
      <c r="E29">
        <f t="shared" si="6"/>
        <v>-148.31312277163875</v>
      </c>
      <c r="F29">
        <v>556.70000000000005</v>
      </c>
      <c r="G29" s="6">
        <v>-705.01312277163879</v>
      </c>
      <c r="J29" s="3">
        <f t="shared" si="7"/>
        <v>43751.409722222219</v>
      </c>
      <c r="K29">
        <f t="shared" si="0"/>
        <v>5.0000411980896589</v>
      </c>
      <c r="L29">
        <f t="shared" si="1"/>
        <v>-148.31312277163875</v>
      </c>
      <c r="M29">
        <f t="shared" si="2"/>
        <v>556.70000000000005</v>
      </c>
      <c r="N29">
        <f t="shared" si="3"/>
        <v>-705.01312277163879</v>
      </c>
      <c r="S29" s="3">
        <v>43751.409722222219</v>
      </c>
      <c r="T29">
        <v>5.0000411980896589</v>
      </c>
      <c r="U29">
        <v>-148.31312277163875</v>
      </c>
      <c r="V29">
        <v>556.70000000000005</v>
      </c>
      <c r="W29">
        <v>-705.01312277163879</v>
      </c>
    </row>
    <row r="30" spans="1:23" x14ac:dyDescent="0.55000000000000004">
      <c r="A30">
        <v>25</v>
      </c>
      <c r="B30" s="3">
        <v>43751.416666666664</v>
      </c>
      <c r="C30">
        <f t="shared" si="4"/>
        <v>5000.0366286452145</v>
      </c>
      <c r="D30">
        <f t="shared" si="5"/>
        <v>18000131.863122772</v>
      </c>
      <c r="E30">
        <f t="shared" si="6"/>
        <v>-131.86312277163881</v>
      </c>
      <c r="F30">
        <v>573.15</v>
      </c>
      <c r="G30" s="6">
        <v>-705.01312277163879</v>
      </c>
      <c r="J30" s="3">
        <f t="shared" si="7"/>
        <v>43751.416666666664</v>
      </c>
      <c r="K30">
        <f t="shared" si="0"/>
        <v>5.0000366286452147</v>
      </c>
      <c r="L30">
        <f t="shared" si="1"/>
        <v>-131.86312277163881</v>
      </c>
      <c r="M30">
        <f t="shared" si="2"/>
        <v>573.15</v>
      </c>
      <c r="N30">
        <f t="shared" si="3"/>
        <v>-705.01312277163879</v>
      </c>
      <c r="S30" s="3">
        <v>43751.416666666664</v>
      </c>
      <c r="T30">
        <v>5.0000366286452147</v>
      </c>
      <c r="U30">
        <v>-131.86312277163881</v>
      </c>
      <c r="V30">
        <v>573.15</v>
      </c>
      <c r="W30">
        <v>-705.01312277163879</v>
      </c>
    </row>
    <row r="31" spans="1:23" x14ac:dyDescent="0.55000000000000004">
      <c r="A31">
        <v>26</v>
      </c>
      <c r="B31" s="3">
        <v>43751.423611111109</v>
      </c>
      <c r="C31">
        <f t="shared" si="4"/>
        <v>5000.0323786452145</v>
      </c>
      <c r="D31">
        <f t="shared" si="5"/>
        <v>18000116.563122772</v>
      </c>
      <c r="E31">
        <f t="shared" si="6"/>
        <v>-116.56312277163875</v>
      </c>
      <c r="F31">
        <v>588.45000000000005</v>
      </c>
      <c r="G31" s="6">
        <v>-705.01312277163879</v>
      </c>
      <c r="J31" s="3">
        <f t="shared" si="7"/>
        <v>43751.423611111109</v>
      </c>
      <c r="K31">
        <f t="shared" si="0"/>
        <v>5.0000323786452148</v>
      </c>
      <c r="L31">
        <f t="shared" si="1"/>
        <v>-116.56312277163875</v>
      </c>
      <c r="M31">
        <f t="shared" si="2"/>
        <v>588.45000000000005</v>
      </c>
      <c r="N31">
        <f t="shared" si="3"/>
        <v>-705.01312277163879</v>
      </c>
      <c r="S31" s="3">
        <v>43751.423611111109</v>
      </c>
      <c r="T31">
        <v>5.0000323786452148</v>
      </c>
      <c r="U31">
        <v>-116.56312277163875</v>
      </c>
      <c r="V31">
        <v>588.45000000000005</v>
      </c>
      <c r="W31">
        <v>-705.01312277163879</v>
      </c>
    </row>
    <row r="32" spans="1:23" x14ac:dyDescent="0.55000000000000004">
      <c r="A32">
        <v>27</v>
      </c>
      <c r="B32" s="3">
        <v>43751.430555555555</v>
      </c>
      <c r="C32">
        <f t="shared" si="4"/>
        <v>5000.0284758674361</v>
      </c>
      <c r="D32">
        <f t="shared" si="5"/>
        <v>18000102.513122771</v>
      </c>
      <c r="E32">
        <f t="shared" si="6"/>
        <v>-102.51312277163879</v>
      </c>
      <c r="F32">
        <v>602.5</v>
      </c>
      <c r="G32" s="6">
        <v>-705.01312277163879</v>
      </c>
      <c r="J32" s="3">
        <f t="shared" si="7"/>
        <v>43751.430555555555</v>
      </c>
      <c r="K32">
        <f t="shared" si="0"/>
        <v>5.0000284758674365</v>
      </c>
      <c r="L32">
        <f t="shared" si="1"/>
        <v>-102.51312277163879</v>
      </c>
      <c r="M32">
        <f t="shared" si="2"/>
        <v>602.5</v>
      </c>
      <c r="N32">
        <f t="shared" si="3"/>
        <v>-705.01312277163879</v>
      </c>
      <c r="S32" s="3">
        <v>43751.430555555555</v>
      </c>
      <c r="T32">
        <v>5.0000284758674365</v>
      </c>
      <c r="U32">
        <v>-102.51312277163879</v>
      </c>
      <c r="V32">
        <v>602.5</v>
      </c>
      <c r="W32">
        <v>-705.01312277163879</v>
      </c>
    </row>
    <row r="33" spans="1:23" x14ac:dyDescent="0.55000000000000004">
      <c r="A33">
        <v>28</v>
      </c>
      <c r="B33" s="3">
        <v>43751.4375</v>
      </c>
      <c r="C33">
        <f t="shared" si="4"/>
        <v>5000.0249064229929</v>
      </c>
      <c r="D33">
        <f t="shared" si="5"/>
        <v>18000089.663122773</v>
      </c>
      <c r="E33">
        <f t="shared" si="6"/>
        <v>-89.663122771638768</v>
      </c>
      <c r="F33">
        <v>615.35</v>
      </c>
      <c r="G33" s="6">
        <v>-705.01312277163879</v>
      </c>
      <c r="J33" s="3">
        <f t="shared" si="7"/>
        <v>43751.4375</v>
      </c>
      <c r="K33">
        <f t="shared" si="0"/>
        <v>5.0000249064229925</v>
      </c>
      <c r="L33">
        <f t="shared" si="1"/>
        <v>-89.663122771638768</v>
      </c>
      <c r="M33">
        <f t="shared" si="2"/>
        <v>615.35</v>
      </c>
      <c r="N33">
        <f t="shared" si="3"/>
        <v>-705.01312277163879</v>
      </c>
      <c r="S33" s="3">
        <v>43751.4375</v>
      </c>
      <c r="T33">
        <v>5.0000249064229925</v>
      </c>
      <c r="U33">
        <v>-89.663122771638768</v>
      </c>
      <c r="V33">
        <v>615.35</v>
      </c>
      <c r="W33">
        <v>-705.01312277163879</v>
      </c>
    </row>
    <row r="34" spans="1:23" x14ac:dyDescent="0.55000000000000004">
      <c r="A34">
        <v>29</v>
      </c>
      <c r="B34" s="3">
        <v>43751.444444444445</v>
      </c>
      <c r="C34">
        <f t="shared" si="4"/>
        <v>5000.0216980896594</v>
      </c>
      <c r="D34">
        <f t="shared" si="5"/>
        <v>18000078.113122772</v>
      </c>
      <c r="E34">
        <f t="shared" si="6"/>
        <v>-78.113122771638814</v>
      </c>
      <c r="F34">
        <v>626.9</v>
      </c>
      <c r="G34" s="6">
        <v>-705.01312277163879</v>
      </c>
      <c r="J34" s="3">
        <f t="shared" si="7"/>
        <v>43751.444444444445</v>
      </c>
      <c r="K34">
        <f t="shared" si="0"/>
        <v>5.0000216980896592</v>
      </c>
      <c r="L34">
        <f t="shared" si="1"/>
        <v>-78.113122771638814</v>
      </c>
      <c r="M34">
        <f t="shared" si="2"/>
        <v>626.9</v>
      </c>
      <c r="N34">
        <f t="shared" si="3"/>
        <v>-705.01312277163879</v>
      </c>
      <c r="S34" s="3">
        <v>43751.444444444445</v>
      </c>
      <c r="T34">
        <v>5.0000216980896592</v>
      </c>
      <c r="U34">
        <v>-78.113122771638814</v>
      </c>
      <c r="V34">
        <v>626.9</v>
      </c>
      <c r="W34">
        <v>-705.01312277163879</v>
      </c>
    </row>
    <row r="35" spans="1:23" x14ac:dyDescent="0.55000000000000004">
      <c r="A35">
        <v>30</v>
      </c>
      <c r="B35" s="3">
        <v>43751.451388888891</v>
      </c>
      <c r="C35">
        <f t="shared" si="4"/>
        <v>5000.0188647563255</v>
      </c>
      <c r="D35">
        <f t="shared" si="5"/>
        <v>18000067.913122773</v>
      </c>
      <c r="E35">
        <f t="shared" si="6"/>
        <v>-67.913122771638768</v>
      </c>
      <c r="F35">
        <v>637.1</v>
      </c>
      <c r="G35" s="6">
        <v>-705.01312277163879</v>
      </c>
      <c r="J35" s="3">
        <f t="shared" si="7"/>
        <v>43751.451388888891</v>
      </c>
      <c r="K35">
        <f t="shared" si="0"/>
        <v>5.0000188647563251</v>
      </c>
      <c r="L35">
        <f t="shared" si="1"/>
        <v>-67.913122771638768</v>
      </c>
      <c r="M35">
        <f t="shared" si="2"/>
        <v>637.1</v>
      </c>
      <c r="N35">
        <f t="shared" si="3"/>
        <v>-705.01312277163879</v>
      </c>
      <c r="S35" s="3">
        <v>43751.451388888891</v>
      </c>
      <c r="T35">
        <v>5.0000188647563251</v>
      </c>
      <c r="U35">
        <v>-67.913122771638768</v>
      </c>
      <c r="V35">
        <v>637.1</v>
      </c>
      <c r="W35">
        <v>-705.01312277163879</v>
      </c>
    </row>
    <row r="36" spans="1:23" x14ac:dyDescent="0.55000000000000004">
      <c r="A36">
        <v>31</v>
      </c>
      <c r="B36" s="3">
        <v>43751.458333333336</v>
      </c>
      <c r="C36">
        <f t="shared" si="4"/>
        <v>5000.016378645214</v>
      </c>
      <c r="D36">
        <f t="shared" si="5"/>
        <v>18000058.96312277</v>
      </c>
      <c r="E36">
        <f t="shared" si="6"/>
        <v>-58.963122771638837</v>
      </c>
      <c r="F36">
        <v>646.04999999999995</v>
      </c>
      <c r="G36" s="6">
        <v>-705.01312277163879</v>
      </c>
      <c r="J36" s="3">
        <f t="shared" si="7"/>
        <v>43751.458333333336</v>
      </c>
      <c r="K36">
        <f t="shared" si="0"/>
        <v>5.0000163786452143</v>
      </c>
      <c r="L36">
        <f t="shared" si="1"/>
        <v>-58.963122771638837</v>
      </c>
      <c r="M36">
        <f t="shared" si="2"/>
        <v>646.04999999999995</v>
      </c>
      <c r="N36">
        <f t="shared" si="3"/>
        <v>-705.01312277163879</v>
      </c>
      <c r="S36" s="3">
        <v>43751.458333333336</v>
      </c>
      <c r="T36">
        <v>5.0000163786452143</v>
      </c>
      <c r="U36">
        <v>-58.963122771638837</v>
      </c>
      <c r="V36">
        <v>646.04999999999995</v>
      </c>
      <c r="W36">
        <v>-705.01312277163879</v>
      </c>
    </row>
    <row r="37" spans="1:23" x14ac:dyDescent="0.55000000000000004">
      <c r="A37">
        <v>32</v>
      </c>
      <c r="B37" s="3">
        <v>43751.465277777781</v>
      </c>
      <c r="C37">
        <f t="shared" si="4"/>
        <v>5000.0142814229921</v>
      </c>
      <c r="D37">
        <f t="shared" si="5"/>
        <v>18000051.413122773</v>
      </c>
      <c r="E37">
        <f t="shared" si="6"/>
        <v>-51.413122771638768</v>
      </c>
      <c r="F37">
        <v>653.6</v>
      </c>
      <c r="G37" s="6">
        <v>-705.01312277163879</v>
      </c>
      <c r="J37" s="3">
        <f t="shared" si="7"/>
        <v>43751.465277777781</v>
      </c>
      <c r="K37">
        <f t="shared" si="0"/>
        <v>5.0000142814229918</v>
      </c>
      <c r="L37">
        <f t="shared" si="1"/>
        <v>-51.413122771638768</v>
      </c>
      <c r="M37">
        <f t="shared" si="2"/>
        <v>653.6</v>
      </c>
      <c r="N37">
        <f t="shared" si="3"/>
        <v>-705.01312277163879</v>
      </c>
      <c r="S37" s="3">
        <v>43751.465277777781</v>
      </c>
      <c r="T37">
        <v>5.0000142814229918</v>
      </c>
      <c r="U37">
        <v>-51.413122771638768</v>
      </c>
      <c r="V37">
        <v>653.6</v>
      </c>
      <c r="W37">
        <v>-705.01312277163879</v>
      </c>
    </row>
    <row r="38" spans="1:23" x14ac:dyDescent="0.55000000000000004">
      <c r="A38">
        <v>33</v>
      </c>
      <c r="B38" s="3">
        <v>43751.472222222219</v>
      </c>
      <c r="C38">
        <f t="shared" si="4"/>
        <v>5000.0125592007698</v>
      </c>
      <c r="D38">
        <f t="shared" si="5"/>
        <v>18000045.21312277</v>
      </c>
      <c r="E38">
        <f t="shared" si="6"/>
        <v>-45.213122771638837</v>
      </c>
      <c r="F38">
        <v>659.8</v>
      </c>
      <c r="G38" s="6">
        <v>-705.01312277163879</v>
      </c>
      <c r="J38" s="3">
        <f t="shared" si="7"/>
        <v>43751.472222222219</v>
      </c>
      <c r="K38">
        <f t="shared" ref="K38:K70" si="8">C38/1000</f>
        <v>5.00001255920077</v>
      </c>
      <c r="L38">
        <f t="shared" ref="L38:L70" si="9">E38</f>
        <v>-45.213122771638837</v>
      </c>
      <c r="M38">
        <f t="shared" ref="M38:M70" si="10">F38</f>
        <v>659.8</v>
      </c>
      <c r="N38">
        <f t="shared" ref="N38:N70" si="11">G38</f>
        <v>-705.01312277163879</v>
      </c>
      <c r="S38" s="3">
        <v>43751.472222222219</v>
      </c>
      <c r="T38">
        <v>5.00001255920077</v>
      </c>
      <c r="U38">
        <v>-45.213122771638837</v>
      </c>
      <c r="V38">
        <v>659.8</v>
      </c>
      <c r="W38">
        <v>-705.01312277163879</v>
      </c>
    </row>
    <row r="39" spans="1:23" x14ac:dyDescent="0.55000000000000004">
      <c r="A39">
        <v>34</v>
      </c>
      <c r="B39" s="3">
        <v>43751.479166666664</v>
      </c>
      <c r="C39">
        <f t="shared" si="4"/>
        <v>5000.0112119785481</v>
      </c>
      <c r="D39">
        <f t="shared" si="5"/>
        <v>18000040.363122772</v>
      </c>
      <c r="E39">
        <f t="shared" si="6"/>
        <v>-40.363122771638814</v>
      </c>
      <c r="F39">
        <v>664.65</v>
      </c>
      <c r="G39" s="6">
        <v>-705.01312277163879</v>
      </c>
      <c r="J39" s="3">
        <f t="shared" si="7"/>
        <v>43751.479166666664</v>
      </c>
      <c r="K39">
        <f t="shared" si="8"/>
        <v>5.0000112119785483</v>
      </c>
      <c r="L39">
        <f t="shared" si="9"/>
        <v>-40.363122771638814</v>
      </c>
      <c r="M39">
        <f t="shared" si="10"/>
        <v>664.65</v>
      </c>
      <c r="N39">
        <f t="shared" si="11"/>
        <v>-705.01312277163879</v>
      </c>
      <c r="S39" s="3">
        <v>43751.479166666664</v>
      </c>
      <c r="T39">
        <v>5.0000112119785483</v>
      </c>
      <c r="U39">
        <v>-40.363122771638814</v>
      </c>
      <c r="V39">
        <v>664.65</v>
      </c>
      <c r="W39">
        <v>-705.01312277163879</v>
      </c>
    </row>
    <row r="40" spans="1:23" x14ac:dyDescent="0.55000000000000004">
      <c r="A40">
        <v>35</v>
      </c>
      <c r="B40" s="3">
        <v>43751.486111111109</v>
      </c>
      <c r="C40">
        <f t="shared" si="4"/>
        <v>5000.010239756326</v>
      </c>
      <c r="D40">
        <f t="shared" si="5"/>
        <v>18000036.863122772</v>
      </c>
      <c r="E40">
        <f t="shared" si="6"/>
        <v>-36.863122771638814</v>
      </c>
      <c r="F40">
        <v>668.15</v>
      </c>
      <c r="G40" s="6">
        <v>-705.01312277163879</v>
      </c>
      <c r="J40" s="3">
        <f t="shared" si="7"/>
        <v>43751.486111111109</v>
      </c>
      <c r="K40">
        <f t="shared" si="8"/>
        <v>5.0000102397563264</v>
      </c>
      <c r="L40">
        <f t="shared" si="9"/>
        <v>-36.863122771638814</v>
      </c>
      <c r="M40">
        <f t="shared" si="10"/>
        <v>668.15</v>
      </c>
      <c r="N40">
        <f t="shared" si="11"/>
        <v>-705.01312277163879</v>
      </c>
      <c r="S40" s="3">
        <v>43751.486111111109</v>
      </c>
      <c r="T40">
        <v>5.0000102397563264</v>
      </c>
      <c r="U40">
        <v>-36.863122771638814</v>
      </c>
      <c r="V40">
        <v>668.15</v>
      </c>
      <c r="W40">
        <v>-705.01312277163879</v>
      </c>
    </row>
    <row r="41" spans="1:23" x14ac:dyDescent="0.55000000000000004">
      <c r="A41">
        <v>36</v>
      </c>
      <c r="B41" s="3">
        <v>43751.493055555555</v>
      </c>
      <c r="C41">
        <f t="shared" si="4"/>
        <v>5000.0096564229916</v>
      </c>
      <c r="D41">
        <f t="shared" si="5"/>
        <v>18000034.763122771</v>
      </c>
      <c r="E41">
        <f t="shared" si="6"/>
        <v>-34.763122771638791</v>
      </c>
      <c r="F41">
        <v>670.25</v>
      </c>
      <c r="G41" s="6">
        <v>-705.01312277163879</v>
      </c>
      <c r="J41" s="3">
        <f t="shared" si="7"/>
        <v>43751.493055555555</v>
      </c>
      <c r="K41">
        <f t="shared" si="8"/>
        <v>5.0000096564229919</v>
      </c>
      <c r="L41">
        <f t="shared" si="9"/>
        <v>-34.763122771638791</v>
      </c>
      <c r="M41">
        <f t="shared" si="10"/>
        <v>670.25</v>
      </c>
      <c r="N41">
        <f t="shared" si="11"/>
        <v>-705.01312277163879</v>
      </c>
      <c r="S41" s="3">
        <v>43751.493055555555</v>
      </c>
      <c r="T41">
        <v>5.0000096564229919</v>
      </c>
      <c r="U41">
        <v>-34.763122771638791</v>
      </c>
      <c r="V41">
        <v>670.25</v>
      </c>
      <c r="W41">
        <v>-705.01312277163879</v>
      </c>
    </row>
    <row r="42" spans="1:23" x14ac:dyDescent="0.55000000000000004">
      <c r="A42">
        <v>37</v>
      </c>
      <c r="B42" s="3">
        <v>43751.5</v>
      </c>
      <c r="C42">
        <f t="shared" si="4"/>
        <v>5000.0094758674368</v>
      </c>
      <c r="D42">
        <f t="shared" si="5"/>
        <v>18000034.113122772</v>
      </c>
      <c r="E42">
        <f t="shared" si="6"/>
        <v>-34.113122771638814</v>
      </c>
      <c r="F42">
        <v>670.9</v>
      </c>
      <c r="G42" s="6">
        <v>-705.01312277163879</v>
      </c>
      <c r="J42" s="3">
        <f t="shared" si="7"/>
        <v>43751.5</v>
      </c>
      <c r="K42">
        <f t="shared" si="8"/>
        <v>5.0000094758674365</v>
      </c>
      <c r="L42">
        <f t="shared" si="9"/>
        <v>-34.113122771638814</v>
      </c>
      <c r="M42">
        <f t="shared" si="10"/>
        <v>670.9</v>
      </c>
      <c r="N42">
        <f t="shared" si="11"/>
        <v>-705.01312277163879</v>
      </c>
      <c r="S42" s="3">
        <v>43751.5</v>
      </c>
      <c r="T42">
        <v>5.0000094758674365</v>
      </c>
      <c r="U42">
        <v>-34.113122771638814</v>
      </c>
      <c r="V42">
        <v>670.9</v>
      </c>
      <c r="W42">
        <v>-705.01312277163879</v>
      </c>
    </row>
    <row r="43" spans="1:23" x14ac:dyDescent="0.55000000000000004">
      <c r="A43">
        <v>38</v>
      </c>
      <c r="B43" s="3">
        <v>43751.506944444445</v>
      </c>
      <c r="C43">
        <f t="shared" si="4"/>
        <v>4999.7730835994416</v>
      </c>
      <c r="D43">
        <f t="shared" si="5"/>
        <v>17999183.10095799</v>
      </c>
      <c r="E43">
        <f t="shared" si="6"/>
        <v>816.8990420115814</v>
      </c>
      <c r="F43">
        <v>1340.5</v>
      </c>
      <c r="G43" s="6">
        <v>-523.6009579884186</v>
      </c>
      <c r="J43" s="3">
        <f t="shared" si="7"/>
        <v>43751.506944444445</v>
      </c>
      <c r="K43">
        <f t="shared" si="8"/>
        <v>4.9997730835994414</v>
      </c>
      <c r="L43">
        <f t="shared" si="9"/>
        <v>816.8990420115814</v>
      </c>
      <c r="M43">
        <f t="shared" si="10"/>
        <v>1340.5</v>
      </c>
      <c r="N43">
        <f t="shared" si="11"/>
        <v>-523.6009579884186</v>
      </c>
      <c r="S43" s="3">
        <v>43751.506944444445</v>
      </c>
      <c r="T43">
        <v>4.9997730835994414</v>
      </c>
      <c r="U43">
        <v>816.8990420115814</v>
      </c>
      <c r="V43">
        <v>1340.5</v>
      </c>
      <c r="W43">
        <v>-523.6009579884186</v>
      </c>
    </row>
    <row r="44" spans="1:23" x14ac:dyDescent="0.55000000000000004">
      <c r="A44">
        <v>39</v>
      </c>
      <c r="B44" s="3">
        <v>43751.513888888891</v>
      </c>
      <c r="C44">
        <f t="shared" si="4"/>
        <v>4999.7742502661076</v>
      </c>
      <c r="D44">
        <f t="shared" si="5"/>
        <v>17999187.300957989</v>
      </c>
      <c r="E44">
        <f t="shared" si="6"/>
        <v>812.69904201158135</v>
      </c>
      <c r="F44">
        <v>1336.3</v>
      </c>
      <c r="G44" s="6">
        <v>-523.6009579884186</v>
      </c>
      <c r="J44" s="3">
        <f t="shared" si="7"/>
        <v>43751.513888888891</v>
      </c>
      <c r="K44">
        <f t="shared" si="8"/>
        <v>4.9997742502661078</v>
      </c>
      <c r="L44">
        <f t="shared" si="9"/>
        <v>812.69904201158135</v>
      </c>
      <c r="M44">
        <f t="shared" si="10"/>
        <v>1336.3</v>
      </c>
      <c r="N44">
        <f t="shared" si="11"/>
        <v>-523.6009579884186</v>
      </c>
      <c r="S44" s="3">
        <v>43751.513888888891</v>
      </c>
      <c r="T44">
        <v>4.9997742502661078</v>
      </c>
      <c r="U44">
        <v>812.69904201158135</v>
      </c>
      <c r="V44">
        <v>1336.3</v>
      </c>
      <c r="W44">
        <v>-523.6009579884186</v>
      </c>
    </row>
    <row r="45" spans="1:23" x14ac:dyDescent="0.55000000000000004">
      <c r="A45">
        <v>40</v>
      </c>
      <c r="B45" s="3">
        <v>43751.520833333336</v>
      </c>
      <c r="C45">
        <f t="shared" si="4"/>
        <v>4999.7761947105528</v>
      </c>
      <c r="D45">
        <f t="shared" si="5"/>
        <v>17999194.300957989</v>
      </c>
      <c r="E45">
        <f t="shared" si="6"/>
        <v>805.69904201158135</v>
      </c>
      <c r="F45">
        <v>1329.3</v>
      </c>
      <c r="G45" s="6">
        <v>-523.6009579884186</v>
      </c>
      <c r="J45" s="3">
        <f t="shared" si="7"/>
        <v>43751.520833333336</v>
      </c>
      <c r="K45">
        <f t="shared" si="8"/>
        <v>4.9997761947105523</v>
      </c>
      <c r="L45">
        <f t="shared" si="9"/>
        <v>805.69904201158135</v>
      </c>
      <c r="M45">
        <f t="shared" si="10"/>
        <v>1329.3</v>
      </c>
      <c r="N45">
        <f t="shared" si="11"/>
        <v>-523.6009579884186</v>
      </c>
      <c r="S45" s="3">
        <v>43751.520833333336</v>
      </c>
      <c r="T45">
        <v>4.9997761947105523</v>
      </c>
      <c r="U45">
        <v>805.69904201158135</v>
      </c>
      <c r="V45">
        <v>1329.3</v>
      </c>
      <c r="W45">
        <v>-523.6009579884186</v>
      </c>
    </row>
    <row r="46" spans="1:23" x14ac:dyDescent="0.55000000000000004">
      <c r="A46">
        <v>41</v>
      </c>
      <c r="B46" s="3">
        <v>43751.527777777781</v>
      </c>
      <c r="C46">
        <f t="shared" si="4"/>
        <v>4999.7788613772182</v>
      </c>
      <c r="D46">
        <f t="shared" si="5"/>
        <v>17999203.900957987</v>
      </c>
      <c r="E46">
        <f t="shared" si="6"/>
        <v>796.09904201158145</v>
      </c>
      <c r="F46">
        <v>1319.7</v>
      </c>
      <c r="G46" s="6">
        <v>-523.6009579884186</v>
      </c>
      <c r="J46" s="3">
        <f t="shared" si="7"/>
        <v>43751.527777777781</v>
      </c>
      <c r="K46">
        <f t="shared" si="8"/>
        <v>4.9997788613772185</v>
      </c>
      <c r="L46">
        <f t="shared" si="9"/>
        <v>796.09904201158145</v>
      </c>
      <c r="M46">
        <f t="shared" si="10"/>
        <v>1319.7</v>
      </c>
      <c r="N46">
        <f t="shared" si="11"/>
        <v>-523.6009579884186</v>
      </c>
      <c r="S46" s="3">
        <v>43751.527777777781</v>
      </c>
      <c r="T46">
        <v>4.9997788613772185</v>
      </c>
      <c r="U46">
        <v>796.09904201158145</v>
      </c>
      <c r="V46">
        <v>1319.7</v>
      </c>
      <c r="W46">
        <v>-523.6009579884186</v>
      </c>
    </row>
    <row r="47" spans="1:23" x14ac:dyDescent="0.55000000000000004">
      <c r="A47">
        <v>42</v>
      </c>
      <c r="B47" s="3">
        <v>43751.534722222219</v>
      </c>
      <c r="C47">
        <f t="shared" si="4"/>
        <v>4999.7823335994408</v>
      </c>
      <c r="D47">
        <f t="shared" si="5"/>
        <v>17999216.400957987</v>
      </c>
      <c r="E47">
        <f t="shared" si="6"/>
        <v>783.59904201158145</v>
      </c>
      <c r="F47">
        <v>1307.2</v>
      </c>
      <c r="G47" s="6">
        <v>-523.6009579884186</v>
      </c>
      <c r="J47" s="3">
        <f t="shared" si="7"/>
        <v>43751.534722222219</v>
      </c>
      <c r="K47">
        <f t="shared" si="8"/>
        <v>4.9997823335994411</v>
      </c>
      <c r="L47">
        <f t="shared" si="9"/>
        <v>783.59904201158145</v>
      </c>
      <c r="M47">
        <f t="shared" si="10"/>
        <v>1307.2</v>
      </c>
      <c r="N47">
        <f t="shared" si="11"/>
        <v>-523.6009579884186</v>
      </c>
      <c r="S47" s="3">
        <v>43751.534722222219</v>
      </c>
      <c r="T47">
        <v>4.9997823335994411</v>
      </c>
      <c r="U47">
        <v>783.59904201158145</v>
      </c>
      <c r="V47">
        <v>1307.2</v>
      </c>
      <c r="W47">
        <v>-523.6009579884186</v>
      </c>
    </row>
    <row r="48" spans="1:23" x14ac:dyDescent="0.55000000000000004">
      <c r="A48">
        <v>43</v>
      </c>
      <c r="B48" s="3">
        <v>43751.541666666664</v>
      </c>
      <c r="C48">
        <f t="shared" si="4"/>
        <v>4999.7865280438855</v>
      </c>
      <c r="D48">
        <f t="shared" si="5"/>
        <v>17999231.500957988</v>
      </c>
      <c r="E48">
        <f t="shared" si="6"/>
        <v>768.49904201158131</v>
      </c>
      <c r="F48">
        <v>1292.0999999999999</v>
      </c>
      <c r="G48" s="6">
        <v>-523.6009579884186</v>
      </c>
      <c r="J48" s="3">
        <f t="shared" si="7"/>
        <v>43751.541666666664</v>
      </c>
      <c r="K48">
        <f t="shared" si="8"/>
        <v>4.9997865280438853</v>
      </c>
      <c r="L48">
        <f t="shared" si="9"/>
        <v>768.49904201158131</v>
      </c>
      <c r="M48">
        <f t="shared" si="10"/>
        <v>1292.0999999999999</v>
      </c>
      <c r="N48">
        <f t="shared" si="11"/>
        <v>-523.6009579884186</v>
      </c>
      <c r="S48" s="3">
        <v>43751.541666666664</v>
      </c>
      <c r="T48">
        <v>4.9997865280438853</v>
      </c>
      <c r="U48">
        <v>768.49904201158131</v>
      </c>
      <c r="V48">
        <v>1292.0999999999999</v>
      </c>
      <c r="W48">
        <v>-523.6009579884186</v>
      </c>
    </row>
    <row r="49" spans="1:23" x14ac:dyDescent="0.55000000000000004">
      <c r="A49">
        <v>44</v>
      </c>
      <c r="B49" s="3">
        <v>43751.548611111109</v>
      </c>
      <c r="C49">
        <f t="shared" si="4"/>
        <v>4999.7914724883303</v>
      </c>
      <c r="D49">
        <f t="shared" si="5"/>
        <v>17999249.300957989</v>
      </c>
      <c r="E49">
        <f t="shared" si="6"/>
        <v>750.69904201158135</v>
      </c>
      <c r="F49">
        <v>1274.3</v>
      </c>
      <c r="G49" s="6">
        <v>-523.6009579884186</v>
      </c>
      <c r="J49" s="3">
        <f t="shared" si="7"/>
        <v>43751.548611111109</v>
      </c>
      <c r="K49">
        <f t="shared" si="8"/>
        <v>4.9997914724883303</v>
      </c>
      <c r="L49">
        <f t="shared" si="9"/>
        <v>750.69904201158135</v>
      </c>
      <c r="M49">
        <f t="shared" si="10"/>
        <v>1274.3</v>
      </c>
      <c r="N49">
        <f t="shared" si="11"/>
        <v>-523.6009579884186</v>
      </c>
      <c r="S49" s="3">
        <v>43751.548611111109</v>
      </c>
      <c r="T49">
        <v>4.9997914724883303</v>
      </c>
      <c r="U49">
        <v>750.69904201158135</v>
      </c>
      <c r="V49">
        <v>1274.3</v>
      </c>
      <c r="W49">
        <v>-523.6009579884186</v>
      </c>
    </row>
    <row r="50" spans="1:23" x14ac:dyDescent="0.55000000000000004">
      <c r="A50">
        <v>45</v>
      </c>
      <c r="B50" s="3">
        <v>43751.555555555555</v>
      </c>
      <c r="C50">
        <f t="shared" si="4"/>
        <v>4999.7971669327744</v>
      </c>
      <c r="D50">
        <f t="shared" si="5"/>
        <v>17999269.800957989</v>
      </c>
      <c r="E50">
        <f t="shared" si="6"/>
        <v>730.19904201158135</v>
      </c>
      <c r="F50">
        <v>1253.8</v>
      </c>
      <c r="G50" s="6">
        <v>-523.6009579884186</v>
      </c>
      <c r="J50" s="3">
        <f t="shared" si="7"/>
        <v>43751.555555555555</v>
      </c>
      <c r="K50">
        <f t="shared" si="8"/>
        <v>4.9997971669327743</v>
      </c>
      <c r="L50">
        <f t="shared" si="9"/>
        <v>730.19904201158135</v>
      </c>
      <c r="M50">
        <f t="shared" si="10"/>
        <v>1253.8</v>
      </c>
      <c r="N50">
        <f t="shared" si="11"/>
        <v>-523.6009579884186</v>
      </c>
      <c r="S50" s="3">
        <v>43751.555555555555</v>
      </c>
      <c r="T50">
        <v>4.9997971669327743</v>
      </c>
      <c r="U50">
        <v>730.19904201158135</v>
      </c>
      <c r="V50">
        <v>1253.8</v>
      </c>
      <c r="W50">
        <v>-523.6009579884186</v>
      </c>
    </row>
    <row r="51" spans="1:23" x14ac:dyDescent="0.55000000000000004">
      <c r="A51">
        <v>46</v>
      </c>
      <c r="B51" s="3">
        <v>43751.5625</v>
      </c>
      <c r="C51">
        <f t="shared" si="4"/>
        <v>4999.8035835994406</v>
      </c>
      <c r="D51">
        <f t="shared" si="5"/>
        <v>17999292.900957987</v>
      </c>
      <c r="E51">
        <f t="shared" si="6"/>
        <v>707.09904201158145</v>
      </c>
      <c r="F51">
        <v>1230.7</v>
      </c>
      <c r="G51" s="6">
        <v>-523.6009579884186</v>
      </c>
      <c r="J51" s="3">
        <f t="shared" si="7"/>
        <v>43751.5625</v>
      </c>
      <c r="K51">
        <f t="shared" si="8"/>
        <v>4.9998035835994408</v>
      </c>
      <c r="L51">
        <f t="shared" si="9"/>
        <v>707.09904201158145</v>
      </c>
      <c r="M51">
        <f t="shared" si="10"/>
        <v>1230.7</v>
      </c>
      <c r="N51">
        <f t="shared" si="11"/>
        <v>-523.6009579884186</v>
      </c>
      <c r="S51" s="3">
        <v>43751.5625</v>
      </c>
      <c r="T51">
        <v>4.9998035835994408</v>
      </c>
      <c r="U51">
        <v>707.09904201158145</v>
      </c>
      <c r="V51">
        <v>1230.7</v>
      </c>
      <c r="W51">
        <v>-523.6009579884186</v>
      </c>
    </row>
    <row r="52" spans="1:23" x14ac:dyDescent="0.55000000000000004">
      <c r="A52">
        <v>47</v>
      </c>
      <c r="B52" s="3">
        <v>43751.569444444445</v>
      </c>
      <c r="C52">
        <f t="shared" si="4"/>
        <v>4999.8106947105525</v>
      </c>
      <c r="D52">
        <f t="shared" si="5"/>
        <v>17999318.500957988</v>
      </c>
      <c r="E52">
        <f t="shared" si="6"/>
        <v>681.49904201158131</v>
      </c>
      <c r="F52">
        <v>1205.0999999999999</v>
      </c>
      <c r="G52" s="6">
        <v>-523.6009579884186</v>
      </c>
      <c r="J52" s="3">
        <f t="shared" si="7"/>
        <v>43751.569444444445</v>
      </c>
      <c r="K52">
        <f t="shared" si="8"/>
        <v>4.9998106947105523</v>
      </c>
      <c r="L52">
        <f t="shared" si="9"/>
        <v>681.49904201158131</v>
      </c>
      <c r="M52">
        <f t="shared" si="10"/>
        <v>1205.0999999999999</v>
      </c>
      <c r="N52">
        <f t="shared" si="11"/>
        <v>-523.6009579884186</v>
      </c>
      <c r="S52" s="3">
        <v>43751.569444444445</v>
      </c>
      <c r="T52">
        <v>4.9998106947105523</v>
      </c>
      <c r="U52">
        <v>681.49904201158131</v>
      </c>
      <c r="V52">
        <v>1205.0999999999999</v>
      </c>
      <c r="W52">
        <v>-523.6009579884186</v>
      </c>
    </row>
    <row r="53" spans="1:23" x14ac:dyDescent="0.55000000000000004">
      <c r="A53">
        <v>48</v>
      </c>
      <c r="B53" s="3">
        <v>43751.576388888891</v>
      </c>
      <c r="C53">
        <f t="shared" si="4"/>
        <v>4999.8185280438856</v>
      </c>
      <c r="D53">
        <f t="shared" si="5"/>
        <v>17999346.700957987</v>
      </c>
      <c r="E53">
        <f t="shared" si="6"/>
        <v>653.29904201158149</v>
      </c>
      <c r="F53">
        <v>1176.9000000000001</v>
      </c>
      <c r="G53" s="6">
        <v>-523.6009579884186</v>
      </c>
      <c r="J53" s="3">
        <f t="shared" si="7"/>
        <v>43751.576388888891</v>
      </c>
      <c r="K53">
        <f t="shared" si="8"/>
        <v>4.9998185280438854</v>
      </c>
      <c r="L53">
        <f t="shared" si="9"/>
        <v>653.29904201158149</v>
      </c>
      <c r="M53">
        <f t="shared" si="10"/>
        <v>1176.9000000000001</v>
      </c>
      <c r="N53">
        <f t="shared" si="11"/>
        <v>-523.6009579884186</v>
      </c>
      <c r="S53" s="3">
        <v>43751.576388888891</v>
      </c>
      <c r="T53">
        <v>4.9998185280438854</v>
      </c>
      <c r="U53">
        <v>653.29904201158149</v>
      </c>
      <c r="V53">
        <v>1176.9000000000001</v>
      </c>
      <c r="W53">
        <v>-523.6009579884186</v>
      </c>
    </row>
    <row r="54" spans="1:23" x14ac:dyDescent="0.55000000000000004">
      <c r="A54">
        <v>49</v>
      </c>
      <c r="B54" s="3">
        <v>43751.583333333336</v>
      </c>
      <c r="C54">
        <f t="shared" si="4"/>
        <v>4999.8270002661075</v>
      </c>
      <c r="D54">
        <f t="shared" si="5"/>
        <v>17999377.200957987</v>
      </c>
      <c r="E54">
        <f t="shared" si="6"/>
        <v>622.79904201158149</v>
      </c>
      <c r="F54">
        <v>1146.4000000000001</v>
      </c>
      <c r="G54" s="6">
        <v>-523.6009579884186</v>
      </c>
      <c r="J54" s="3">
        <f t="shared" si="7"/>
        <v>43751.583333333336</v>
      </c>
      <c r="K54">
        <f t="shared" si="8"/>
        <v>4.9998270002661078</v>
      </c>
      <c r="L54">
        <f t="shared" si="9"/>
        <v>622.79904201158149</v>
      </c>
      <c r="M54">
        <f t="shared" si="10"/>
        <v>1146.4000000000001</v>
      </c>
      <c r="N54">
        <f t="shared" si="11"/>
        <v>-523.6009579884186</v>
      </c>
      <c r="S54" s="3">
        <v>43751.583333333336</v>
      </c>
      <c r="T54">
        <v>4.9998270002661078</v>
      </c>
      <c r="U54">
        <v>622.79904201158149</v>
      </c>
      <c r="V54">
        <v>1146.4000000000001</v>
      </c>
      <c r="W54">
        <v>-523.6009579884186</v>
      </c>
    </row>
    <row r="55" spans="1:23" x14ac:dyDescent="0.55000000000000004">
      <c r="A55">
        <v>50</v>
      </c>
      <c r="B55" s="3">
        <v>43751.590277777781</v>
      </c>
      <c r="C55">
        <f t="shared" si="4"/>
        <v>4999.8361669327742</v>
      </c>
      <c r="D55">
        <f t="shared" si="5"/>
        <v>17999410.200957987</v>
      </c>
      <c r="E55">
        <f t="shared" si="6"/>
        <v>589.79904201158149</v>
      </c>
      <c r="F55">
        <v>1113.4000000000001</v>
      </c>
      <c r="G55" s="6">
        <v>-523.6009579884186</v>
      </c>
      <c r="J55" s="3">
        <f t="shared" si="7"/>
        <v>43751.590277777781</v>
      </c>
      <c r="K55">
        <f t="shared" si="8"/>
        <v>4.9998361669327744</v>
      </c>
      <c r="L55">
        <f t="shared" si="9"/>
        <v>589.79904201158149</v>
      </c>
      <c r="M55">
        <f t="shared" si="10"/>
        <v>1113.4000000000001</v>
      </c>
      <c r="N55">
        <f t="shared" si="11"/>
        <v>-523.6009579884186</v>
      </c>
      <c r="S55" s="3">
        <v>43751.590277777781</v>
      </c>
      <c r="T55">
        <v>4.9998361669327744</v>
      </c>
      <c r="U55">
        <v>589.79904201158149</v>
      </c>
      <c r="V55">
        <v>1113.4000000000001</v>
      </c>
      <c r="W55">
        <v>-523.6009579884186</v>
      </c>
    </row>
    <row r="56" spans="1:23" x14ac:dyDescent="0.55000000000000004">
      <c r="A56">
        <v>51</v>
      </c>
      <c r="B56" s="3">
        <v>43751.597222222219</v>
      </c>
      <c r="C56">
        <f t="shared" si="4"/>
        <v>4999.8459724883296</v>
      </c>
      <c r="D56">
        <f t="shared" si="5"/>
        <v>17999445.500957988</v>
      </c>
      <c r="E56">
        <f t="shared" si="6"/>
        <v>554.49904201158131</v>
      </c>
      <c r="F56">
        <v>1078.0999999999999</v>
      </c>
      <c r="G56" s="6">
        <v>-523.6009579884186</v>
      </c>
      <c r="J56" s="3">
        <f t="shared" si="7"/>
        <v>43751.597222222219</v>
      </c>
      <c r="K56">
        <f t="shared" si="8"/>
        <v>4.9998459724883295</v>
      </c>
      <c r="L56">
        <f t="shared" si="9"/>
        <v>554.49904201158131</v>
      </c>
      <c r="M56">
        <f t="shared" si="10"/>
        <v>1078.0999999999999</v>
      </c>
      <c r="N56">
        <f t="shared" si="11"/>
        <v>-523.6009579884186</v>
      </c>
      <c r="S56" s="3">
        <v>43751.597222222219</v>
      </c>
      <c r="T56">
        <v>4.9998459724883295</v>
      </c>
      <c r="U56">
        <v>554.49904201158131</v>
      </c>
      <c r="V56">
        <v>1078.0999999999999</v>
      </c>
      <c r="W56">
        <v>-523.6009579884186</v>
      </c>
    </row>
    <row r="57" spans="1:23" x14ac:dyDescent="0.55000000000000004">
      <c r="A57">
        <v>52</v>
      </c>
      <c r="B57" s="3">
        <v>43751.604166666664</v>
      </c>
      <c r="C57">
        <f t="shared" si="4"/>
        <v>4999.8563891549966</v>
      </c>
      <c r="D57">
        <f t="shared" si="5"/>
        <v>17999483.000957988</v>
      </c>
      <c r="E57">
        <f t="shared" si="6"/>
        <v>516.99904201158131</v>
      </c>
      <c r="F57">
        <v>1040.5999999999999</v>
      </c>
      <c r="G57" s="6">
        <v>-523.6009579884186</v>
      </c>
      <c r="J57" s="3">
        <f t="shared" si="7"/>
        <v>43751.604166666664</v>
      </c>
      <c r="K57">
        <f t="shared" si="8"/>
        <v>4.9998563891549965</v>
      </c>
      <c r="L57">
        <f t="shared" si="9"/>
        <v>516.99904201158131</v>
      </c>
      <c r="M57">
        <f t="shared" si="10"/>
        <v>1040.5999999999999</v>
      </c>
      <c r="N57">
        <f t="shared" si="11"/>
        <v>-523.6009579884186</v>
      </c>
      <c r="S57" s="3">
        <v>43751.604166666664</v>
      </c>
      <c r="T57">
        <v>4.9998563891549965</v>
      </c>
      <c r="U57">
        <v>516.99904201158131</v>
      </c>
      <c r="V57">
        <v>1040.5999999999999</v>
      </c>
      <c r="W57">
        <v>-523.6009579884186</v>
      </c>
    </row>
    <row r="58" spans="1:23" x14ac:dyDescent="0.55000000000000004">
      <c r="A58">
        <v>53</v>
      </c>
      <c r="B58" s="3">
        <v>43751.611111111109</v>
      </c>
      <c r="C58">
        <f t="shared" si="4"/>
        <v>4999.8674169327742</v>
      </c>
      <c r="D58">
        <f t="shared" si="5"/>
        <v>17999522.700957987</v>
      </c>
      <c r="E58">
        <f t="shared" si="6"/>
        <v>477.29904201158138</v>
      </c>
      <c r="F58">
        <v>1000.9</v>
      </c>
      <c r="G58" s="6">
        <v>-523.6009579884186</v>
      </c>
      <c r="J58" s="3">
        <f t="shared" si="7"/>
        <v>43751.611111111109</v>
      </c>
      <c r="K58">
        <f t="shared" si="8"/>
        <v>4.9998674169327746</v>
      </c>
      <c r="L58">
        <f t="shared" si="9"/>
        <v>477.29904201158138</v>
      </c>
      <c r="M58">
        <f t="shared" si="10"/>
        <v>1000.9</v>
      </c>
      <c r="N58">
        <f t="shared" si="11"/>
        <v>-523.6009579884186</v>
      </c>
      <c r="S58" s="3">
        <v>43751.611111111109</v>
      </c>
      <c r="T58">
        <v>4.9998674169327746</v>
      </c>
      <c r="U58">
        <v>477.29904201158138</v>
      </c>
      <c r="V58">
        <v>1000.9</v>
      </c>
      <c r="W58">
        <v>-523.6009579884186</v>
      </c>
    </row>
    <row r="59" spans="1:23" x14ac:dyDescent="0.55000000000000004">
      <c r="A59">
        <v>54</v>
      </c>
      <c r="B59" s="3">
        <v>43751.618055555555</v>
      </c>
      <c r="C59">
        <f t="shared" si="4"/>
        <v>4999.8790280438852</v>
      </c>
      <c r="D59">
        <f t="shared" si="5"/>
        <v>17999564.500957988</v>
      </c>
      <c r="E59">
        <f t="shared" si="6"/>
        <v>435.49904201158142</v>
      </c>
      <c r="F59">
        <v>959.1</v>
      </c>
      <c r="G59" s="6">
        <v>-523.6009579884186</v>
      </c>
      <c r="J59" s="3">
        <f t="shared" si="7"/>
        <v>43751.618055555555</v>
      </c>
      <c r="K59">
        <f t="shared" si="8"/>
        <v>4.9998790280438854</v>
      </c>
      <c r="L59">
        <f t="shared" si="9"/>
        <v>435.49904201158142</v>
      </c>
      <c r="M59">
        <f t="shared" si="10"/>
        <v>959.1</v>
      </c>
      <c r="N59">
        <f t="shared" si="11"/>
        <v>-523.6009579884186</v>
      </c>
      <c r="S59" s="3">
        <v>43751.618055555555</v>
      </c>
      <c r="T59">
        <v>4.9998790280438854</v>
      </c>
      <c r="U59">
        <v>435.49904201158142</v>
      </c>
      <c r="V59">
        <v>959.1</v>
      </c>
      <c r="W59">
        <v>-523.6009579884186</v>
      </c>
    </row>
    <row r="60" spans="1:23" x14ac:dyDescent="0.55000000000000004">
      <c r="A60">
        <v>55</v>
      </c>
      <c r="B60" s="3">
        <v>43751.625</v>
      </c>
      <c r="C60">
        <f t="shared" si="4"/>
        <v>4999.8911669327745</v>
      </c>
      <c r="D60">
        <f t="shared" si="5"/>
        <v>17999608.200957987</v>
      </c>
      <c r="E60">
        <f t="shared" si="6"/>
        <v>391.79904201158138</v>
      </c>
      <c r="F60">
        <v>915.4</v>
      </c>
      <c r="G60" s="6">
        <v>-523.6009579884186</v>
      </c>
      <c r="J60" s="3">
        <f t="shared" si="7"/>
        <v>43751.625</v>
      </c>
      <c r="K60">
        <f t="shared" si="8"/>
        <v>4.9998911669327741</v>
      </c>
      <c r="L60">
        <f t="shared" si="9"/>
        <v>391.79904201158138</v>
      </c>
      <c r="M60">
        <f t="shared" si="10"/>
        <v>915.4</v>
      </c>
      <c r="N60">
        <f t="shared" si="11"/>
        <v>-523.6009579884186</v>
      </c>
      <c r="S60" s="3">
        <v>43751.625</v>
      </c>
      <c r="T60">
        <v>4.9998911669327741</v>
      </c>
      <c r="U60">
        <v>391.79904201158138</v>
      </c>
      <c r="V60">
        <v>915.4</v>
      </c>
      <c r="W60">
        <v>-523.6009579884186</v>
      </c>
    </row>
    <row r="61" spans="1:23" x14ac:dyDescent="0.55000000000000004">
      <c r="A61">
        <v>56</v>
      </c>
      <c r="B61" s="3">
        <v>43751.631944444445</v>
      </c>
      <c r="C61">
        <f t="shared" si="4"/>
        <v>4999.903833599441</v>
      </c>
      <c r="D61">
        <f t="shared" si="5"/>
        <v>17999653.800957989</v>
      </c>
      <c r="E61">
        <f t="shared" si="6"/>
        <v>346.19904201158135</v>
      </c>
      <c r="F61">
        <v>869.8</v>
      </c>
      <c r="G61" s="6">
        <v>-523.6009579884186</v>
      </c>
      <c r="J61" s="3">
        <f t="shared" si="7"/>
        <v>43751.631944444445</v>
      </c>
      <c r="K61">
        <f t="shared" si="8"/>
        <v>4.9999038335994408</v>
      </c>
      <c r="L61">
        <f t="shared" si="9"/>
        <v>346.19904201158135</v>
      </c>
      <c r="M61">
        <f t="shared" si="10"/>
        <v>869.8</v>
      </c>
      <c r="N61">
        <f t="shared" si="11"/>
        <v>-523.6009579884186</v>
      </c>
      <c r="S61" s="3">
        <v>43751.631944444445</v>
      </c>
      <c r="T61">
        <v>4.9999038335994408</v>
      </c>
      <c r="U61">
        <v>346.19904201158135</v>
      </c>
      <c r="V61">
        <v>869.8</v>
      </c>
      <c r="W61">
        <v>-523.6009579884186</v>
      </c>
    </row>
    <row r="62" spans="1:23" x14ac:dyDescent="0.55000000000000004">
      <c r="A62">
        <v>57</v>
      </c>
      <c r="B62" s="3">
        <v>43751.638888888891</v>
      </c>
      <c r="C62">
        <f t="shared" si="4"/>
        <v>4999.9170002661076</v>
      </c>
      <c r="D62">
        <f t="shared" si="5"/>
        <v>17999701.200957987</v>
      </c>
      <c r="E62">
        <f t="shared" si="6"/>
        <v>298.79904201158138</v>
      </c>
      <c r="F62">
        <v>822.4</v>
      </c>
      <c r="G62" s="6">
        <v>-523.6009579884186</v>
      </c>
      <c r="J62" s="3">
        <f t="shared" si="7"/>
        <v>43751.638888888891</v>
      </c>
      <c r="K62">
        <f t="shared" si="8"/>
        <v>4.999917000266108</v>
      </c>
      <c r="L62">
        <f t="shared" si="9"/>
        <v>298.79904201158138</v>
      </c>
      <c r="M62">
        <f t="shared" si="10"/>
        <v>822.4</v>
      </c>
      <c r="N62">
        <f t="shared" si="11"/>
        <v>-523.6009579884186</v>
      </c>
      <c r="S62" s="3">
        <v>43751.638888888891</v>
      </c>
      <c r="T62">
        <v>4.999917000266108</v>
      </c>
      <c r="U62">
        <v>298.79904201158138</v>
      </c>
      <c r="V62">
        <v>822.4</v>
      </c>
      <c r="W62">
        <v>-523.6009579884186</v>
      </c>
    </row>
    <row r="63" spans="1:23" x14ac:dyDescent="0.55000000000000004">
      <c r="A63">
        <v>58</v>
      </c>
      <c r="B63" s="3">
        <v>43751.645833333336</v>
      </c>
      <c r="C63">
        <f t="shared" si="4"/>
        <v>4999.9306113772191</v>
      </c>
      <c r="D63">
        <f t="shared" si="5"/>
        <v>17999750.200957987</v>
      </c>
      <c r="E63">
        <f t="shared" si="6"/>
        <v>249.79904201158138</v>
      </c>
      <c r="F63">
        <v>773.4</v>
      </c>
      <c r="G63" s="6">
        <v>-523.6009579884186</v>
      </c>
      <c r="J63" s="3">
        <f t="shared" si="7"/>
        <v>43751.645833333336</v>
      </c>
      <c r="K63">
        <f t="shared" si="8"/>
        <v>4.9999306113772191</v>
      </c>
      <c r="L63">
        <f t="shared" si="9"/>
        <v>249.79904201158138</v>
      </c>
      <c r="M63">
        <f t="shared" si="10"/>
        <v>773.4</v>
      </c>
      <c r="N63">
        <f t="shared" si="11"/>
        <v>-523.6009579884186</v>
      </c>
      <c r="S63" s="3">
        <v>43751.645833333336</v>
      </c>
      <c r="T63">
        <v>4.9999306113772191</v>
      </c>
      <c r="U63">
        <v>249.79904201158138</v>
      </c>
      <c r="V63">
        <v>773.4</v>
      </c>
      <c r="W63">
        <v>-523.6009579884186</v>
      </c>
    </row>
    <row r="64" spans="1:23" x14ac:dyDescent="0.55000000000000004">
      <c r="A64">
        <v>59</v>
      </c>
      <c r="B64" s="3">
        <v>43751.652777777781</v>
      </c>
      <c r="C64">
        <f t="shared" si="4"/>
        <v>4999.9446669327745</v>
      </c>
      <c r="D64">
        <f t="shared" si="5"/>
        <v>17999800.800957989</v>
      </c>
      <c r="E64">
        <f t="shared" si="6"/>
        <v>199.19904201158135</v>
      </c>
      <c r="F64">
        <v>722.8</v>
      </c>
      <c r="G64" s="6">
        <v>-523.6009579884186</v>
      </c>
      <c r="J64" s="3">
        <f t="shared" si="7"/>
        <v>43751.652777777781</v>
      </c>
      <c r="K64">
        <f t="shared" si="8"/>
        <v>4.9999446669327741</v>
      </c>
      <c r="L64">
        <f t="shared" si="9"/>
        <v>199.19904201158135</v>
      </c>
      <c r="M64">
        <f t="shared" si="10"/>
        <v>722.8</v>
      </c>
      <c r="N64">
        <f t="shared" si="11"/>
        <v>-523.6009579884186</v>
      </c>
      <c r="S64" s="3">
        <v>43751.652777777781</v>
      </c>
      <c r="T64">
        <v>4.9999446669327741</v>
      </c>
      <c r="U64">
        <v>199.19904201158135</v>
      </c>
      <c r="V64">
        <v>722.8</v>
      </c>
      <c r="W64">
        <v>-523.6009579884186</v>
      </c>
    </row>
    <row r="65" spans="1:23" x14ac:dyDescent="0.55000000000000004">
      <c r="A65">
        <v>60</v>
      </c>
      <c r="B65" s="3">
        <v>43751.659722222219</v>
      </c>
      <c r="C65">
        <f t="shared" si="4"/>
        <v>4999.9591113772194</v>
      </c>
      <c r="D65">
        <f t="shared" si="5"/>
        <v>17999852.800957989</v>
      </c>
      <c r="E65">
        <f t="shared" si="6"/>
        <v>147.19904201158135</v>
      </c>
      <c r="F65">
        <v>670.8</v>
      </c>
      <c r="G65" s="6">
        <v>-523.6009579884186</v>
      </c>
      <c r="J65" s="3">
        <f t="shared" si="7"/>
        <v>43751.659722222219</v>
      </c>
      <c r="K65">
        <f t="shared" si="8"/>
        <v>4.999959111377219</v>
      </c>
      <c r="L65">
        <f t="shared" si="9"/>
        <v>147.19904201158135</v>
      </c>
      <c r="M65">
        <f t="shared" si="10"/>
        <v>670.8</v>
      </c>
      <c r="N65">
        <f t="shared" si="11"/>
        <v>-523.6009579884186</v>
      </c>
      <c r="S65" s="3">
        <v>43751.659722222219</v>
      </c>
      <c r="T65">
        <v>4.999959111377219</v>
      </c>
      <c r="U65">
        <v>147.19904201158135</v>
      </c>
      <c r="V65">
        <v>670.8</v>
      </c>
      <c r="W65">
        <v>-523.6009579884186</v>
      </c>
    </row>
    <row r="66" spans="1:23" x14ac:dyDescent="0.55000000000000004">
      <c r="A66">
        <v>61</v>
      </c>
      <c r="B66" s="3">
        <v>43751.666666666664</v>
      </c>
      <c r="C66">
        <f t="shared" si="4"/>
        <v>4999.973916932775</v>
      </c>
      <c r="D66">
        <f t="shared" si="5"/>
        <v>17999906.10095799</v>
      </c>
      <c r="E66">
        <f t="shared" si="6"/>
        <v>93.8990420115814</v>
      </c>
      <c r="F66">
        <v>617.5</v>
      </c>
      <c r="G66" s="6">
        <v>-523.6009579884186</v>
      </c>
      <c r="J66" s="3">
        <f t="shared" si="7"/>
        <v>43751.666666666664</v>
      </c>
      <c r="K66">
        <f t="shared" si="8"/>
        <v>4.9999739169327748</v>
      </c>
      <c r="L66">
        <f t="shared" si="9"/>
        <v>93.8990420115814</v>
      </c>
      <c r="M66">
        <f t="shared" si="10"/>
        <v>617.5</v>
      </c>
      <c r="N66">
        <f t="shared" si="11"/>
        <v>-523.6009579884186</v>
      </c>
      <c r="S66" s="3">
        <v>43751.666666666664</v>
      </c>
      <c r="T66">
        <v>4.9999739169327748</v>
      </c>
      <c r="U66">
        <v>93.8990420115814</v>
      </c>
      <c r="V66">
        <v>617.5</v>
      </c>
      <c r="W66">
        <v>-523.6009579884186</v>
      </c>
    </row>
    <row r="67" spans="1:23" x14ac:dyDescent="0.55000000000000004">
      <c r="A67">
        <v>62</v>
      </c>
      <c r="B67" s="3">
        <v>43751.673611111109</v>
      </c>
      <c r="C67">
        <f t="shared" si="4"/>
        <v>4999.9890002661077</v>
      </c>
      <c r="D67">
        <f t="shared" si="5"/>
        <v>17999960.400957987</v>
      </c>
      <c r="E67">
        <f t="shared" si="6"/>
        <v>39.599042011581446</v>
      </c>
      <c r="F67">
        <v>563.20000000000005</v>
      </c>
      <c r="G67" s="6">
        <v>-523.6009579884186</v>
      </c>
      <c r="J67" s="3">
        <f t="shared" si="7"/>
        <v>43751.673611111109</v>
      </c>
      <c r="K67">
        <f t="shared" si="8"/>
        <v>4.9999890002661074</v>
      </c>
      <c r="L67">
        <f t="shared" si="9"/>
        <v>39.599042011581446</v>
      </c>
      <c r="M67">
        <f t="shared" si="10"/>
        <v>563.20000000000005</v>
      </c>
      <c r="N67">
        <f t="shared" si="11"/>
        <v>-523.6009579884186</v>
      </c>
      <c r="S67" s="3">
        <v>43751.673611111109</v>
      </c>
      <c r="T67">
        <v>4.9999890002661074</v>
      </c>
      <c r="U67">
        <v>39.599042011581446</v>
      </c>
      <c r="V67">
        <v>563.20000000000005</v>
      </c>
      <c r="W67">
        <v>-523.6009579884186</v>
      </c>
    </row>
    <row r="68" spans="1:23" x14ac:dyDescent="0.55000000000000004">
      <c r="A68">
        <v>63</v>
      </c>
      <c r="B68" s="3">
        <v>43751.680555555555</v>
      </c>
      <c r="C68">
        <f t="shared" si="4"/>
        <v>5000.0043613772186</v>
      </c>
      <c r="D68">
        <f t="shared" si="5"/>
        <v>18000015.700957987</v>
      </c>
      <c r="E68">
        <f t="shared" si="6"/>
        <v>-15.700957988418622</v>
      </c>
      <c r="F68">
        <v>507.9</v>
      </c>
      <c r="G68" s="6">
        <v>-523.6009579884186</v>
      </c>
      <c r="J68" s="3">
        <f t="shared" si="7"/>
        <v>43751.680555555555</v>
      </c>
      <c r="K68">
        <f t="shared" si="8"/>
        <v>5.0000043613772185</v>
      </c>
      <c r="L68">
        <f t="shared" si="9"/>
        <v>-15.700957988418622</v>
      </c>
      <c r="M68">
        <f t="shared" si="10"/>
        <v>507.9</v>
      </c>
      <c r="N68">
        <f t="shared" si="11"/>
        <v>-523.6009579884186</v>
      </c>
      <c r="S68" s="3">
        <v>43751.680555555555</v>
      </c>
      <c r="T68">
        <v>5.0000043613772185</v>
      </c>
      <c r="U68">
        <v>-15.700957988418622</v>
      </c>
      <c r="V68">
        <v>507.9</v>
      </c>
      <c r="W68">
        <v>-523.6009579884186</v>
      </c>
    </row>
    <row r="69" spans="1:23" x14ac:dyDescent="0.55000000000000004">
      <c r="A69">
        <v>64</v>
      </c>
      <c r="B69" s="3">
        <v>43751.6875</v>
      </c>
      <c r="C69">
        <f t="shared" si="4"/>
        <v>5000.0198891549971</v>
      </c>
      <c r="D69">
        <f t="shared" si="5"/>
        <v>18000071.60095799</v>
      </c>
      <c r="E69">
        <f t="shared" si="6"/>
        <v>-71.6009579884186</v>
      </c>
      <c r="F69">
        <v>452</v>
      </c>
      <c r="G69" s="6">
        <v>-523.6009579884186</v>
      </c>
      <c r="J69" s="3">
        <f t="shared" si="7"/>
        <v>43751.6875</v>
      </c>
      <c r="K69">
        <f t="shared" si="8"/>
        <v>5.0000198891549967</v>
      </c>
      <c r="L69">
        <f t="shared" si="9"/>
        <v>-71.6009579884186</v>
      </c>
      <c r="M69">
        <f t="shared" si="10"/>
        <v>452</v>
      </c>
      <c r="N69">
        <f t="shared" si="11"/>
        <v>-523.6009579884186</v>
      </c>
      <c r="S69" s="3">
        <v>43751.6875</v>
      </c>
      <c r="T69">
        <v>5.0000198891549967</v>
      </c>
      <c r="U69">
        <v>-71.6009579884186</v>
      </c>
      <c r="V69">
        <v>452</v>
      </c>
      <c r="W69">
        <v>-523.6009579884186</v>
      </c>
    </row>
    <row r="70" spans="1:23" x14ac:dyDescent="0.55000000000000004">
      <c r="A70">
        <v>65</v>
      </c>
      <c r="B70" s="3">
        <v>43751.694444444445</v>
      </c>
      <c r="C70">
        <f t="shared" si="4"/>
        <v>5000.0355835994415</v>
      </c>
      <c r="D70">
        <f t="shared" si="5"/>
        <v>18000128.10095799</v>
      </c>
      <c r="E70">
        <f t="shared" si="6"/>
        <v>-128.1009579884186</v>
      </c>
      <c r="F70">
        <v>395.5</v>
      </c>
      <c r="G70" s="6">
        <v>-523.6009579884186</v>
      </c>
      <c r="J70" s="3">
        <f t="shared" si="7"/>
        <v>43751.694444444445</v>
      </c>
      <c r="K70">
        <f t="shared" si="8"/>
        <v>5.0000355835994412</v>
      </c>
      <c r="L70">
        <f t="shared" si="9"/>
        <v>-128.1009579884186</v>
      </c>
      <c r="M70">
        <f t="shared" si="10"/>
        <v>395.5</v>
      </c>
      <c r="N70">
        <f t="shared" si="11"/>
        <v>-523.6009579884186</v>
      </c>
      <c r="S70" s="3">
        <v>43751.694444444445</v>
      </c>
      <c r="T70">
        <v>5.0000355835994412</v>
      </c>
      <c r="U70">
        <v>-128.1009579884186</v>
      </c>
      <c r="V70">
        <v>395.5</v>
      </c>
      <c r="W70">
        <v>-523.6009579884186</v>
      </c>
    </row>
    <row r="71" spans="1:23" x14ac:dyDescent="0.55000000000000004">
      <c r="A71">
        <v>66</v>
      </c>
      <c r="B71" s="3">
        <v>43751.701388888891</v>
      </c>
      <c r="C71">
        <f t="shared" ref="C71:C78" si="12">D71/3600</f>
        <v>5000.0512780438858</v>
      </c>
      <c r="D71">
        <f t="shared" ref="D71:D78" si="13">5000*3600-E71</f>
        <v>18000184.60095799</v>
      </c>
      <c r="E71">
        <f t="shared" si="6"/>
        <v>-184.6009579884186</v>
      </c>
      <c r="F71">
        <v>339</v>
      </c>
      <c r="G71" s="6">
        <v>-523.6009579884186</v>
      </c>
      <c r="J71" s="3">
        <f t="shared" si="7"/>
        <v>43751.701388888891</v>
      </c>
      <c r="K71">
        <f t="shared" ref="K71:K78" si="14">C71/1000</f>
        <v>5.0000512780438857</v>
      </c>
      <c r="L71">
        <f t="shared" ref="L71:N78" si="15">E71</f>
        <v>-184.6009579884186</v>
      </c>
      <c r="M71">
        <f t="shared" si="15"/>
        <v>339</v>
      </c>
      <c r="N71">
        <f t="shared" si="15"/>
        <v>-523.6009579884186</v>
      </c>
      <c r="S71" s="3">
        <v>43751.701388888891</v>
      </c>
      <c r="T71">
        <v>5.0000512780438857</v>
      </c>
      <c r="U71">
        <v>-184.6009579884186</v>
      </c>
      <c r="V71">
        <v>339</v>
      </c>
      <c r="W71">
        <v>-523.6009579884186</v>
      </c>
    </row>
    <row r="72" spans="1:23" x14ac:dyDescent="0.55000000000000004">
      <c r="A72">
        <v>67</v>
      </c>
      <c r="B72" s="3">
        <v>43751.708333333336</v>
      </c>
      <c r="C72">
        <f t="shared" si="12"/>
        <v>4999.9214722222223</v>
      </c>
      <c r="D72">
        <f t="shared" si="13"/>
        <v>17999717.300000001</v>
      </c>
      <c r="E72">
        <f t="shared" ref="E72:E78" si="16">F72+G72</f>
        <v>282.7</v>
      </c>
      <c r="F72">
        <v>282.7</v>
      </c>
      <c r="G72" s="6">
        <v>0</v>
      </c>
      <c r="J72" s="3">
        <f t="shared" ref="J72:J78" si="17">B72</f>
        <v>43751.708333333336</v>
      </c>
      <c r="K72">
        <f t="shared" si="14"/>
        <v>4.9999214722222227</v>
      </c>
      <c r="L72">
        <f t="shared" si="15"/>
        <v>282.7</v>
      </c>
      <c r="M72">
        <f t="shared" si="15"/>
        <v>282.7</v>
      </c>
      <c r="N72">
        <f t="shared" si="15"/>
        <v>0</v>
      </c>
      <c r="S72" s="3">
        <v>43751.708333333336</v>
      </c>
      <c r="T72">
        <v>4.9999214722222227</v>
      </c>
      <c r="U72">
        <v>282.7</v>
      </c>
      <c r="V72">
        <v>282.7</v>
      </c>
      <c r="W72">
        <v>0</v>
      </c>
    </row>
    <row r="73" spans="1:23" x14ac:dyDescent="0.55000000000000004">
      <c r="A73">
        <v>68</v>
      </c>
      <c r="B73" s="3">
        <v>43751.715277777781</v>
      </c>
      <c r="C73">
        <f t="shared" si="12"/>
        <v>4999.9369166666665</v>
      </c>
      <c r="D73">
        <f t="shared" si="13"/>
        <v>17999772.899999999</v>
      </c>
      <c r="E73">
        <f t="shared" si="16"/>
        <v>227.1</v>
      </c>
      <c r="F73">
        <v>227.1</v>
      </c>
      <c r="G73" s="6">
        <v>0</v>
      </c>
      <c r="J73" s="3">
        <f t="shared" si="17"/>
        <v>43751.715277777781</v>
      </c>
      <c r="K73">
        <f t="shared" si="14"/>
        <v>4.999936916666667</v>
      </c>
      <c r="L73">
        <f t="shared" si="15"/>
        <v>227.1</v>
      </c>
      <c r="M73">
        <f t="shared" si="15"/>
        <v>227.1</v>
      </c>
      <c r="N73">
        <f t="shared" si="15"/>
        <v>0</v>
      </c>
      <c r="S73" s="3">
        <v>43751.715277777781</v>
      </c>
      <c r="T73">
        <v>4.999936916666667</v>
      </c>
      <c r="U73">
        <v>227.1</v>
      </c>
      <c r="V73">
        <v>227.1</v>
      </c>
      <c r="W73">
        <v>0</v>
      </c>
    </row>
    <row r="74" spans="1:23" x14ac:dyDescent="0.55000000000000004">
      <c r="A74">
        <v>69</v>
      </c>
      <c r="B74" s="3">
        <v>43751.722222222219</v>
      </c>
      <c r="C74">
        <f t="shared" si="12"/>
        <v>4999.9518888888888</v>
      </c>
      <c r="D74">
        <f t="shared" si="13"/>
        <v>17999826.800000001</v>
      </c>
      <c r="E74">
        <f t="shared" si="16"/>
        <v>173.2</v>
      </c>
      <c r="F74">
        <v>173.2</v>
      </c>
      <c r="G74" s="6">
        <v>0</v>
      </c>
      <c r="J74" s="3">
        <f t="shared" si="17"/>
        <v>43751.722222222219</v>
      </c>
      <c r="K74">
        <f t="shared" si="14"/>
        <v>4.999951888888889</v>
      </c>
      <c r="L74">
        <f t="shared" si="15"/>
        <v>173.2</v>
      </c>
      <c r="M74">
        <f t="shared" si="15"/>
        <v>173.2</v>
      </c>
      <c r="N74">
        <f t="shared" si="15"/>
        <v>0</v>
      </c>
      <c r="S74" s="3">
        <v>43751.722222222219</v>
      </c>
      <c r="T74">
        <v>4.999951888888889</v>
      </c>
      <c r="U74">
        <v>173.2</v>
      </c>
      <c r="V74">
        <v>173.2</v>
      </c>
      <c r="W74">
        <v>0</v>
      </c>
    </row>
    <row r="75" spans="1:23" x14ac:dyDescent="0.55000000000000004">
      <c r="A75">
        <v>70</v>
      </c>
      <c r="B75" s="3">
        <v>43751.729166666664</v>
      </c>
      <c r="C75">
        <f t="shared" si="12"/>
        <v>4999.966138888889</v>
      </c>
      <c r="D75">
        <f t="shared" si="13"/>
        <v>17999878.100000001</v>
      </c>
      <c r="E75">
        <f t="shared" si="16"/>
        <v>121.9</v>
      </c>
      <c r="F75">
        <v>121.9</v>
      </c>
      <c r="G75" s="6">
        <v>0</v>
      </c>
      <c r="J75" s="3">
        <f t="shared" si="17"/>
        <v>43751.729166666664</v>
      </c>
      <c r="K75">
        <f t="shared" si="14"/>
        <v>4.9999661388888885</v>
      </c>
      <c r="L75">
        <f t="shared" si="15"/>
        <v>121.9</v>
      </c>
      <c r="M75">
        <f t="shared" si="15"/>
        <v>121.9</v>
      </c>
      <c r="N75">
        <f t="shared" si="15"/>
        <v>0</v>
      </c>
      <c r="S75" s="3">
        <v>43751.729166666664</v>
      </c>
      <c r="T75">
        <v>4.9999661388888885</v>
      </c>
      <c r="U75">
        <v>121.9</v>
      </c>
      <c r="V75">
        <v>121.9</v>
      </c>
      <c r="W75">
        <v>0</v>
      </c>
    </row>
    <row r="76" spans="1:23" x14ac:dyDescent="0.55000000000000004">
      <c r="A76">
        <v>71</v>
      </c>
      <c r="B76" s="3">
        <v>43751.736111111109</v>
      </c>
      <c r="C76">
        <f t="shared" si="12"/>
        <v>4999.9791388888889</v>
      </c>
      <c r="D76">
        <f t="shared" si="13"/>
        <v>17999924.899999999</v>
      </c>
      <c r="E76">
        <f t="shared" si="16"/>
        <v>75.099999999999994</v>
      </c>
      <c r="F76">
        <v>75.099999999999994</v>
      </c>
      <c r="G76" s="6">
        <v>0</v>
      </c>
      <c r="J76" s="3">
        <f t="shared" si="17"/>
        <v>43751.736111111109</v>
      </c>
      <c r="K76">
        <f t="shared" si="14"/>
        <v>4.9999791388888886</v>
      </c>
      <c r="L76">
        <f t="shared" si="15"/>
        <v>75.099999999999994</v>
      </c>
      <c r="M76">
        <f t="shared" si="15"/>
        <v>75.099999999999994</v>
      </c>
      <c r="N76">
        <f t="shared" si="15"/>
        <v>0</v>
      </c>
      <c r="S76" s="3">
        <v>43751.736111111109</v>
      </c>
      <c r="T76">
        <v>4.9999791388888886</v>
      </c>
      <c r="U76">
        <v>75.099999999999994</v>
      </c>
      <c r="V76">
        <v>75.099999999999994</v>
      </c>
      <c r="W76">
        <v>0</v>
      </c>
    </row>
    <row r="77" spans="1:23" x14ac:dyDescent="0.55000000000000004">
      <c r="A77">
        <v>72</v>
      </c>
      <c r="B77" s="3">
        <v>43751.743055555555</v>
      </c>
      <c r="C77">
        <f t="shared" si="12"/>
        <v>4999.99</v>
      </c>
      <c r="D77">
        <f t="shared" si="13"/>
        <v>17999964</v>
      </c>
      <c r="E77">
        <f t="shared" si="16"/>
        <v>36</v>
      </c>
      <c r="F77">
        <v>36</v>
      </c>
      <c r="G77" s="6">
        <v>0</v>
      </c>
      <c r="J77" s="3">
        <f t="shared" si="17"/>
        <v>43751.743055555555</v>
      </c>
      <c r="K77">
        <f t="shared" si="14"/>
        <v>4.9999899999999995</v>
      </c>
      <c r="L77">
        <f t="shared" si="15"/>
        <v>36</v>
      </c>
      <c r="M77">
        <f t="shared" si="15"/>
        <v>36</v>
      </c>
      <c r="N77">
        <f t="shared" si="15"/>
        <v>0</v>
      </c>
      <c r="S77" s="3">
        <v>43751.743055555555</v>
      </c>
      <c r="T77">
        <v>4.9999899999999995</v>
      </c>
      <c r="U77">
        <v>36</v>
      </c>
      <c r="V77">
        <v>36</v>
      </c>
      <c r="W77">
        <v>0</v>
      </c>
    </row>
    <row r="78" spans="1:23" ht="18.5" thickBot="1" x14ac:dyDescent="0.6">
      <c r="A78">
        <v>73</v>
      </c>
      <c r="B78" s="3">
        <v>43751.75</v>
      </c>
      <c r="C78">
        <f t="shared" si="12"/>
        <v>4999.9972777777775</v>
      </c>
      <c r="D78">
        <f t="shared" si="13"/>
        <v>17999990.199999999</v>
      </c>
      <c r="E78">
        <f t="shared" si="16"/>
        <v>9.8000000000000007</v>
      </c>
      <c r="F78">
        <v>9.8000000000000007</v>
      </c>
      <c r="G78" s="7">
        <v>0</v>
      </c>
      <c r="J78" s="3">
        <f t="shared" si="17"/>
        <v>43751.75</v>
      </c>
      <c r="K78">
        <f t="shared" si="14"/>
        <v>4.9999972777777772</v>
      </c>
      <c r="L78">
        <f t="shared" si="15"/>
        <v>9.8000000000000007</v>
      </c>
      <c r="M78">
        <f t="shared" si="15"/>
        <v>9.8000000000000007</v>
      </c>
      <c r="N78">
        <f t="shared" si="15"/>
        <v>0</v>
      </c>
      <c r="S78" s="3">
        <v>43751.75</v>
      </c>
      <c r="T78">
        <v>4.9999972777777772</v>
      </c>
      <c r="U78">
        <v>9.8000000000000007</v>
      </c>
      <c r="V78">
        <v>9.8000000000000007</v>
      </c>
      <c r="W78">
        <v>0</v>
      </c>
    </row>
  </sheetData>
  <mergeCells count="2">
    <mergeCell ref="J4:N4"/>
    <mergeCell ref="S4:W4"/>
  </mergeCells>
  <phoneticPr fontId="1"/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DataPB1">
                <anchor moveWithCells="1" sizeWithCells="1">
                  <from>
                    <xdr:col>8</xdr:col>
                    <xdr:colOff>6350</xdr:colOff>
                    <xdr:row>1</xdr:row>
                    <xdr:rowOff>6350</xdr:rowOff>
                  </from>
                  <to>
                    <xdr:col>12</xdr:col>
                    <xdr:colOff>6350</xdr:colOff>
                    <xdr:row>2</xdr:row>
                    <xdr:rowOff>6350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Main_Day1_2に追加">
                <anchor moveWithCells="1" sizeWithCells="1">
                  <from>
                    <xdr:col>14</xdr:col>
                    <xdr:colOff>654050</xdr:colOff>
                    <xdr:row>1</xdr:row>
                    <xdr:rowOff>6350</xdr:rowOff>
                  </from>
                  <to>
                    <xdr:col>17</xdr:col>
                    <xdr:colOff>6350</xdr:colOff>
                    <xdr:row>2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73C760-C4D0-4EB0-9B92-1DE450D46A0E}">
  <sheetPr codeName="Sheet3"/>
  <dimension ref="A1:H84"/>
  <sheetViews>
    <sheetView zoomScale="70" zoomScaleNormal="70" workbookViewId="0">
      <selection activeCell="J10" sqref="J10"/>
    </sheetView>
  </sheetViews>
  <sheetFormatPr defaultRowHeight="18" x14ac:dyDescent="0.55000000000000004"/>
  <cols>
    <col min="2" max="3" width="16.1640625" customWidth="1"/>
    <col min="4" max="4" width="15.6640625" customWidth="1"/>
    <col min="6" max="6" width="10.25" customWidth="1"/>
    <col min="8" max="8" width="12.25" customWidth="1"/>
  </cols>
  <sheetData>
    <row r="1" spans="1:8" x14ac:dyDescent="0.55000000000000004">
      <c r="A1" t="s">
        <v>1</v>
      </c>
    </row>
    <row r="2" spans="1:8" x14ac:dyDescent="0.55000000000000004">
      <c r="A2" s="2" t="s">
        <v>2</v>
      </c>
      <c r="B2" s="1" t="s">
        <v>3</v>
      </c>
      <c r="C2" s="2" t="s">
        <v>2</v>
      </c>
      <c r="D2" s="1" t="s">
        <v>4</v>
      </c>
      <c r="F2" s="5" t="s">
        <v>15</v>
      </c>
      <c r="G2" s="4" t="s">
        <v>9</v>
      </c>
      <c r="H2" s="1" t="s">
        <v>9</v>
      </c>
    </row>
    <row r="3" spans="1:8" x14ac:dyDescent="0.55000000000000004">
      <c r="A3" s="1" t="s">
        <v>5</v>
      </c>
      <c r="B3" s="1" t="s">
        <v>0</v>
      </c>
      <c r="C3" s="1" t="s">
        <v>5</v>
      </c>
      <c r="D3" s="1" t="s">
        <v>0</v>
      </c>
      <c r="F3" s="11" t="s">
        <v>17</v>
      </c>
      <c r="G3" s="11"/>
      <c r="H3">
        <f>Main_Day1!D78</f>
        <v>17999990.199999999</v>
      </c>
    </row>
    <row r="4" spans="1:8" x14ac:dyDescent="0.55000000000000004">
      <c r="A4" s="1"/>
      <c r="B4" s="1"/>
      <c r="C4" s="1"/>
      <c r="D4" s="1"/>
    </row>
    <row r="5" spans="1:8" x14ac:dyDescent="0.55000000000000004">
      <c r="A5" t="s">
        <v>7</v>
      </c>
      <c r="B5" s="3" t="s">
        <v>8</v>
      </c>
      <c r="C5" t="s">
        <v>16</v>
      </c>
      <c r="D5" t="s">
        <v>11</v>
      </c>
      <c r="E5" t="s">
        <v>12</v>
      </c>
      <c r="F5" t="s">
        <v>13</v>
      </c>
      <c r="G5" t="s">
        <v>14</v>
      </c>
    </row>
    <row r="6" spans="1:8" x14ac:dyDescent="0.55000000000000004">
      <c r="A6">
        <v>1</v>
      </c>
      <c r="B6" s="8">
        <v>43752.25</v>
      </c>
      <c r="C6">
        <f>D6/3600</f>
        <v>4999.9956444444442</v>
      </c>
      <c r="D6">
        <f>$H$3-SUM($E$6:E6)</f>
        <v>17999984.32</v>
      </c>
      <c r="E6">
        <f>F6+G6</f>
        <v>5.88</v>
      </c>
      <c r="F6">
        <v>5.88</v>
      </c>
      <c r="G6">
        <v>0</v>
      </c>
    </row>
    <row r="7" spans="1:8" x14ac:dyDescent="0.55000000000000004">
      <c r="A7">
        <v>2</v>
      </c>
      <c r="B7" s="8">
        <v>43752.256944444445</v>
      </c>
      <c r="C7">
        <f>D7/3600</f>
        <v>4999.9896444444439</v>
      </c>
      <c r="D7">
        <f>$H$3-SUM($E$6:E7)</f>
        <v>17999962.719999999</v>
      </c>
      <c r="E7">
        <f t="shared" ref="E7:E70" si="0">F7+G7</f>
        <v>21.599999999999998</v>
      </c>
      <c r="F7">
        <v>21.599999999999998</v>
      </c>
      <c r="G7">
        <v>0</v>
      </c>
    </row>
    <row r="8" spans="1:8" x14ac:dyDescent="0.55000000000000004">
      <c r="A8">
        <v>3</v>
      </c>
      <c r="B8" s="8">
        <v>43752.263888888891</v>
      </c>
      <c r="C8">
        <f t="shared" ref="C8:C71" si="1">D8/3600</f>
        <v>4999.9771277777782</v>
      </c>
      <c r="D8">
        <f>$H$3-SUM($E$6:E8)</f>
        <v>17999917.66</v>
      </c>
      <c r="E8">
        <f t="shared" si="0"/>
        <v>45.059999999999995</v>
      </c>
      <c r="F8">
        <v>45.059999999999995</v>
      </c>
      <c r="G8">
        <v>0</v>
      </c>
    </row>
    <row r="9" spans="1:8" x14ac:dyDescent="0.55000000000000004">
      <c r="A9">
        <v>4</v>
      </c>
      <c r="B9" s="8">
        <v>43752.270833333336</v>
      </c>
      <c r="C9">
        <f t="shared" si="1"/>
        <v>4999.9568277777771</v>
      </c>
      <c r="D9">
        <f>$H$3-SUM($E$6:E9)</f>
        <v>17999844.579999998</v>
      </c>
      <c r="E9">
        <f t="shared" si="0"/>
        <v>73.08</v>
      </c>
      <c r="F9">
        <v>73.08</v>
      </c>
      <c r="G9">
        <v>0</v>
      </c>
    </row>
    <row r="10" spans="1:8" x14ac:dyDescent="0.55000000000000004">
      <c r="A10">
        <v>5</v>
      </c>
      <c r="B10" s="8">
        <v>43752.277777777781</v>
      </c>
      <c r="C10">
        <f t="shared" si="1"/>
        <v>4999.9279777777774</v>
      </c>
      <c r="D10">
        <f>$H$3-SUM($E$6:E10)</f>
        <v>17999740.719999999</v>
      </c>
      <c r="E10">
        <f t="shared" si="0"/>
        <v>103.86</v>
      </c>
      <c r="F10">
        <v>103.86</v>
      </c>
      <c r="G10">
        <v>0</v>
      </c>
    </row>
    <row r="11" spans="1:8" x14ac:dyDescent="0.55000000000000004">
      <c r="A11">
        <v>6</v>
      </c>
      <c r="B11" s="8">
        <v>43752.284722222219</v>
      </c>
      <c r="C11">
        <f t="shared" si="1"/>
        <v>4999.8901277777777</v>
      </c>
      <c r="D11">
        <f>$H$3-SUM($E$6:E11)</f>
        <v>17999604.460000001</v>
      </c>
      <c r="E11">
        <f t="shared" si="0"/>
        <v>136.26</v>
      </c>
      <c r="F11">
        <v>136.26</v>
      </c>
      <c r="G11">
        <v>0</v>
      </c>
    </row>
    <row r="12" spans="1:8" x14ac:dyDescent="0.55000000000000004">
      <c r="A12">
        <v>7</v>
      </c>
      <c r="B12" s="8">
        <v>43752.291666666664</v>
      </c>
      <c r="C12">
        <f t="shared" si="1"/>
        <v>4999.843027777777</v>
      </c>
      <c r="D12">
        <f>$H$3-SUM($E$6:E12)</f>
        <v>17999434.899999999</v>
      </c>
      <c r="E12">
        <f t="shared" si="0"/>
        <v>169.56</v>
      </c>
      <c r="F12">
        <v>169.56</v>
      </c>
      <c r="G12">
        <v>0</v>
      </c>
    </row>
    <row r="13" spans="1:8" x14ac:dyDescent="0.55000000000000004">
      <c r="A13">
        <v>8</v>
      </c>
      <c r="B13" s="8">
        <v>43752.298611111109</v>
      </c>
      <c r="C13">
        <f t="shared" si="1"/>
        <v>4999.7865444444442</v>
      </c>
      <c r="D13">
        <f>$H$3-SUM($E$6:E13)</f>
        <v>17999231.559999999</v>
      </c>
      <c r="E13">
        <f t="shared" si="0"/>
        <v>203.33999999999997</v>
      </c>
      <c r="F13">
        <v>203.33999999999997</v>
      </c>
      <c r="G13">
        <v>0</v>
      </c>
    </row>
    <row r="14" spans="1:8" x14ac:dyDescent="0.55000000000000004">
      <c r="A14">
        <v>9</v>
      </c>
      <c r="B14" s="8">
        <v>43752.305555555555</v>
      </c>
      <c r="C14">
        <f t="shared" si="1"/>
        <v>4999.7206277777768</v>
      </c>
      <c r="D14">
        <f>$H$3-SUM($E$6:E14)</f>
        <v>17998994.259999998</v>
      </c>
      <c r="E14">
        <f t="shared" si="0"/>
        <v>237.29999999999998</v>
      </c>
      <c r="F14">
        <v>237.29999999999998</v>
      </c>
      <c r="G14">
        <v>0</v>
      </c>
    </row>
    <row r="15" spans="1:8" x14ac:dyDescent="0.55000000000000004">
      <c r="A15">
        <v>10</v>
      </c>
      <c r="B15" s="8">
        <v>43752.3125</v>
      </c>
      <c r="C15">
        <f t="shared" si="1"/>
        <v>4999.6453111111114</v>
      </c>
      <c r="D15">
        <f>$H$3-SUM($E$6:E15)</f>
        <v>17998723.120000001</v>
      </c>
      <c r="E15">
        <f t="shared" si="0"/>
        <v>271.14</v>
      </c>
      <c r="F15">
        <v>271.14</v>
      </c>
      <c r="G15">
        <v>0</v>
      </c>
    </row>
    <row r="16" spans="1:8" x14ac:dyDescent="0.55000000000000004">
      <c r="A16">
        <v>11</v>
      </c>
      <c r="B16" s="8">
        <v>43752.319444444445</v>
      </c>
      <c r="C16">
        <f t="shared" si="1"/>
        <v>4999.5606611111107</v>
      </c>
      <c r="D16">
        <f>$H$3-SUM($E$6:E16)</f>
        <v>17998418.379999999</v>
      </c>
      <c r="E16">
        <f t="shared" si="0"/>
        <v>304.73999999999995</v>
      </c>
      <c r="F16">
        <v>304.73999999999995</v>
      </c>
      <c r="G16">
        <v>0</v>
      </c>
    </row>
    <row r="17" spans="1:7" x14ac:dyDescent="0.55000000000000004">
      <c r="A17">
        <v>12</v>
      </c>
      <c r="B17" s="8">
        <v>43752.326388888891</v>
      </c>
      <c r="C17">
        <f t="shared" si="1"/>
        <v>4999.4668111111114</v>
      </c>
      <c r="D17">
        <f>$H$3-SUM($E$6:E17)</f>
        <v>17998080.52</v>
      </c>
      <c r="E17">
        <f t="shared" si="0"/>
        <v>337.86</v>
      </c>
      <c r="F17">
        <v>337.86</v>
      </c>
      <c r="G17">
        <v>0</v>
      </c>
    </row>
    <row r="18" spans="1:7" x14ac:dyDescent="0.55000000000000004">
      <c r="A18">
        <v>13</v>
      </c>
      <c r="B18" s="8">
        <v>43752.333333333336</v>
      </c>
      <c r="C18">
        <f t="shared" si="1"/>
        <v>4999.5093391549972</v>
      </c>
      <c r="D18">
        <f>$H$3-SUM($E$6:E18)</f>
        <v>17998233.620957989</v>
      </c>
      <c r="E18">
        <f t="shared" si="0"/>
        <v>-153.1009579884186</v>
      </c>
      <c r="F18">
        <v>370.5</v>
      </c>
      <c r="G18">
        <v>-523.6009579884186</v>
      </c>
    </row>
    <row r="19" spans="1:7" x14ac:dyDescent="0.55000000000000004">
      <c r="A19">
        <v>14</v>
      </c>
      <c r="B19" s="8">
        <v>43752.340277777781</v>
      </c>
      <c r="C19">
        <f t="shared" si="1"/>
        <v>4999.543000532216</v>
      </c>
      <c r="D19">
        <f>$H$3-SUM($E$6:E19)</f>
        <v>17998354.801915977</v>
      </c>
      <c r="E19">
        <f t="shared" si="0"/>
        <v>-121.18095798841858</v>
      </c>
      <c r="F19">
        <v>402.42</v>
      </c>
      <c r="G19">
        <v>-523.6009579884186</v>
      </c>
    </row>
    <row r="20" spans="1:7" x14ac:dyDescent="0.55000000000000004">
      <c r="A20">
        <v>15</v>
      </c>
      <c r="B20" s="8">
        <v>43752.347222222219</v>
      </c>
      <c r="C20">
        <f t="shared" si="1"/>
        <v>4999.5679952427681</v>
      </c>
      <c r="D20">
        <f>$H$3-SUM($E$6:E20)</f>
        <v>17998444.782873966</v>
      </c>
      <c r="E20">
        <f t="shared" si="0"/>
        <v>-89.980957988418595</v>
      </c>
      <c r="F20">
        <v>433.62</v>
      </c>
      <c r="G20">
        <v>-523.6009579884186</v>
      </c>
    </row>
    <row r="21" spans="1:7" x14ac:dyDescent="0.55000000000000004">
      <c r="A21">
        <v>16</v>
      </c>
      <c r="B21" s="8">
        <v>43752.354166666664</v>
      </c>
      <c r="C21">
        <f t="shared" si="1"/>
        <v>4999.5845566199869</v>
      </c>
      <c r="D21">
        <f>$H$3-SUM($E$6:E21)</f>
        <v>17998504.403831951</v>
      </c>
      <c r="E21">
        <f t="shared" si="0"/>
        <v>-59.620957988418638</v>
      </c>
      <c r="F21">
        <v>463.97999999999996</v>
      </c>
      <c r="G21">
        <v>-523.6009579884186</v>
      </c>
    </row>
    <row r="22" spans="1:7" x14ac:dyDescent="0.55000000000000004">
      <c r="A22">
        <v>17</v>
      </c>
      <c r="B22" s="8">
        <v>43752.361111111109</v>
      </c>
      <c r="C22">
        <f t="shared" si="1"/>
        <v>4999.5929346638723</v>
      </c>
      <c r="D22">
        <f>$H$3-SUM($E$6:E22)</f>
        <v>17998534.56478994</v>
      </c>
      <c r="E22">
        <f t="shared" si="0"/>
        <v>-30.160957988418659</v>
      </c>
      <c r="F22">
        <v>493.43999999999994</v>
      </c>
      <c r="G22">
        <v>-523.6009579884186</v>
      </c>
    </row>
    <row r="23" spans="1:7" x14ac:dyDescent="0.55000000000000004">
      <c r="A23">
        <v>18</v>
      </c>
      <c r="B23" s="8">
        <v>43752.368055555555</v>
      </c>
      <c r="C23">
        <f t="shared" si="1"/>
        <v>4999.593412707758</v>
      </c>
      <c r="D23">
        <f>$H$3-SUM($E$6:E23)</f>
        <v>17998536.28574793</v>
      </c>
      <c r="E23">
        <f t="shared" si="0"/>
        <v>-1.7209579884186041</v>
      </c>
      <c r="F23">
        <v>521.88</v>
      </c>
      <c r="G23">
        <v>-523.6009579884186</v>
      </c>
    </row>
    <row r="24" spans="1:7" x14ac:dyDescent="0.55000000000000004">
      <c r="A24">
        <v>19</v>
      </c>
      <c r="B24" s="8">
        <v>43752.375</v>
      </c>
      <c r="C24">
        <f t="shared" si="1"/>
        <v>4999.5862907516439</v>
      </c>
      <c r="D24">
        <f>$H$3-SUM($E$6:E24)</f>
        <v>17998510.646705918</v>
      </c>
      <c r="E24">
        <f t="shared" si="0"/>
        <v>25.639042011581409</v>
      </c>
      <c r="F24">
        <v>549.24</v>
      </c>
      <c r="G24">
        <v>-523.6009579884186</v>
      </c>
    </row>
    <row r="25" spans="1:7" x14ac:dyDescent="0.55000000000000004">
      <c r="A25">
        <v>20</v>
      </c>
      <c r="B25" s="8">
        <v>43752.381944444445</v>
      </c>
      <c r="C25">
        <f t="shared" si="1"/>
        <v>4999.5718854621964</v>
      </c>
      <c r="D25">
        <f>$H$3-SUM($E$6:E25)</f>
        <v>17998458.787663907</v>
      </c>
      <c r="E25">
        <f t="shared" si="0"/>
        <v>51.859042011581437</v>
      </c>
      <c r="F25">
        <v>575.46</v>
      </c>
      <c r="G25">
        <v>-523.6009579884186</v>
      </c>
    </row>
    <row r="26" spans="1:7" x14ac:dyDescent="0.55000000000000004">
      <c r="A26">
        <v>21</v>
      </c>
      <c r="B26" s="8">
        <v>43752.388888888891</v>
      </c>
      <c r="C26">
        <f t="shared" si="1"/>
        <v>4999.5505135060812</v>
      </c>
      <c r="D26">
        <f>$H$3-SUM($E$6:E26)</f>
        <v>17998381.848621894</v>
      </c>
      <c r="E26">
        <f t="shared" si="0"/>
        <v>76.939042011581364</v>
      </c>
      <c r="F26">
        <v>600.54</v>
      </c>
      <c r="G26">
        <v>-523.6009579884186</v>
      </c>
    </row>
    <row r="27" spans="1:7" x14ac:dyDescent="0.55000000000000004">
      <c r="A27">
        <v>22</v>
      </c>
      <c r="B27" s="8">
        <v>43752.395833333336</v>
      </c>
      <c r="C27">
        <f t="shared" si="1"/>
        <v>4999.5225415499672</v>
      </c>
      <c r="D27">
        <f>$H$3-SUM($E$6:E27)</f>
        <v>17998281.149579883</v>
      </c>
      <c r="E27">
        <f t="shared" si="0"/>
        <v>100.69904201158135</v>
      </c>
      <c r="F27">
        <v>624.29999999999995</v>
      </c>
      <c r="G27">
        <v>-523.6009579884186</v>
      </c>
    </row>
    <row r="28" spans="1:7" x14ac:dyDescent="0.55000000000000004">
      <c r="A28">
        <v>23</v>
      </c>
      <c r="B28" s="8">
        <v>43752.402777777781</v>
      </c>
      <c r="C28">
        <f t="shared" si="1"/>
        <v>4999.4883029271869</v>
      </c>
      <c r="D28">
        <f>$H$3-SUM($E$6:E28)</f>
        <v>17998157.890537873</v>
      </c>
      <c r="E28">
        <f t="shared" si="0"/>
        <v>123.2590420115813</v>
      </c>
      <c r="F28">
        <v>646.8599999999999</v>
      </c>
      <c r="G28">
        <v>-523.6009579884186</v>
      </c>
    </row>
    <row r="29" spans="1:7" x14ac:dyDescent="0.55000000000000004">
      <c r="A29">
        <v>24</v>
      </c>
      <c r="B29" s="8">
        <v>43752.409722222219</v>
      </c>
      <c r="C29">
        <f t="shared" si="1"/>
        <v>4999.4481809710724</v>
      </c>
      <c r="D29">
        <f>$H$3-SUM($E$6:E29)</f>
        <v>17998013.45149586</v>
      </c>
      <c r="E29">
        <f t="shared" si="0"/>
        <v>144.43904201158148</v>
      </c>
      <c r="F29">
        <v>668.04000000000008</v>
      </c>
      <c r="G29">
        <v>-523.6009579884186</v>
      </c>
    </row>
    <row r="30" spans="1:7" x14ac:dyDescent="0.55000000000000004">
      <c r="A30">
        <v>25</v>
      </c>
      <c r="B30" s="8">
        <v>43752.416666666664</v>
      </c>
      <c r="C30">
        <f t="shared" si="1"/>
        <v>4999.4025756816245</v>
      </c>
      <c r="D30">
        <f>$H$3-SUM($E$6:E30)</f>
        <v>17997849.272453848</v>
      </c>
      <c r="E30">
        <f t="shared" si="0"/>
        <v>164.17904201158137</v>
      </c>
      <c r="F30">
        <v>687.78</v>
      </c>
      <c r="G30">
        <v>-523.6009579884186</v>
      </c>
    </row>
    <row r="31" spans="1:7" x14ac:dyDescent="0.55000000000000004">
      <c r="A31">
        <v>26</v>
      </c>
      <c r="B31" s="8">
        <v>43752.423611111109</v>
      </c>
      <c r="C31">
        <f t="shared" si="1"/>
        <v>4999.3518703921773</v>
      </c>
      <c r="D31">
        <f>$H$3-SUM($E$6:E31)</f>
        <v>17997666.733411837</v>
      </c>
      <c r="E31">
        <f t="shared" si="0"/>
        <v>182.53904201158139</v>
      </c>
      <c r="F31">
        <v>706.14</v>
      </c>
      <c r="G31">
        <v>-523.6009579884186</v>
      </c>
    </row>
    <row r="32" spans="1:7" x14ac:dyDescent="0.55000000000000004">
      <c r="A32">
        <v>27</v>
      </c>
      <c r="B32" s="8">
        <v>43752.430555555555</v>
      </c>
      <c r="C32">
        <f t="shared" si="1"/>
        <v>4999.3764886224835</v>
      </c>
      <c r="D32">
        <f>$H$3-SUM($E$6:E32)</f>
        <v>17997755.359040942</v>
      </c>
      <c r="E32">
        <f t="shared" si="0"/>
        <v>-88.625629104970699</v>
      </c>
      <c r="F32">
        <v>723</v>
      </c>
      <c r="G32">
        <v>-811.6256291049707</v>
      </c>
    </row>
    <row r="33" spans="1:7" x14ac:dyDescent="0.55000000000000004">
      <c r="A33">
        <v>28</v>
      </c>
      <c r="B33" s="8">
        <v>43752.4375</v>
      </c>
      <c r="C33">
        <f t="shared" si="1"/>
        <v>4999.3968235194579</v>
      </c>
      <c r="D33">
        <f>$H$3-SUM($E$6:E33)</f>
        <v>17997828.564670049</v>
      </c>
      <c r="E33">
        <f t="shared" si="0"/>
        <v>-73.20562910497074</v>
      </c>
      <c r="F33">
        <v>738.42</v>
      </c>
      <c r="G33">
        <v>-811.6256291049707</v>
      </c>
    </row>
    <row r="34" spans="1:7" x14ac:dyDescent="0.55000000000000004">
      <c r="A34">
        <v>29</v>
      </c>
      <c r="B34" s="8">
        <v>43752.444444444445</v>
      </c>
      <c r="C34">
        <f t="shared" si="1"/>
        <v>4999.4133084164314</v>
      </c>
      <c r="D34">
        <f>$H$3-SUM($E$6:E34)</f>
        <v>17997887.910299152</v>
      </c>
      <c r="E34">
        <f t="shared" si="0"/>
        <v>-59.345629104970726</v>
      </c>
      <c r="F34">
        <v>752.28</v>
      </c>
      <c r="G34">
        <v>-811.6256291049707</v>
      </c>
    </row>
    <row r="35" spans="1:7" x14ac:dyDescent="0.55000000000000004">
      <c r="A35">
        <v>30</v>
      </c>
      <c r="B35" s="8">
        <v>43752.451388888891</v>
      </c>
      <c r="C35">
        <f t="shared" si="1"/>
        <v>4999.4263933134052</v>
      </c>
      <c r="D35">
        <f>$H$3-SUM($E$6:E35)</f>
        <v>17997935.015928257</v>
      </c>
      <c r="E35">
        <f t="shared" si="0"/>
        <v>-47.105629104970717</v>
      </c>
      <c r="F35">
        <v>764.52</v>
      </c>
      <c r="G35">
        <v>-811.6256291049707</v>
      </c>
    </row>
    <row r="36" spans="1:7" x14ac:dyDescent="0.55000000000000004">
      <c r="A36">
        <v>31</v>
      </c>
      <c r="B36" s="8">
        <v>43752.458333333336</v>
      </c>
      <c r="C36">
        <f t="shared" si="1"/>
        <v>4999.4364948770444</v>
      </c>
      <c r="D36">
        <f>$H$3-SUM($E$6:E36)</f>
        <v>17997971.38155736</v>
      </c>
      <c r="E36">
        <f t="shared" si="0"/>
        <v>-36.365629104970822</v>
      </c>
      <c r="F36">
        <v>775.25999999999988</v>
      </c>
      <c r="G36">
        <v>-811.6256291049707</v>
      </c>
    </row>
    <row r="37" spans="1:7" x14ac:dyDescent="0.55000000000000004">
      <c r="A37">
        <v>32</v>
      </c>
      <c r="B37" s="8">
        <v>43752.465277777781</v>
      </c>
      <c r="C37">
        <f t="shared" si="1"/>
        <v>4999.444079774019</v>
      </c>
      <c r="D37">
        <f>$H$3-SUM($E$6:E37)</f>
        <v>17997998.687186468</v>
      </c>
      <c r="E37">
        <f t="shared" si="0"/>
        <v>-27.305629104970649</v>
      </c>
      <c r="F37">
        <v>784.32</v>
      </c>
      <c r="G37">
        <v>-811.6256291049707</v>
      </c>
    </row>
    <row r="38" spans="1:7" x14ac:dyDescent="0.55000000000000004">
      <c r="A38">
        <v>33</v>
      </c>
      <c r="B38" s="8">
        <v>43752.472222222219</v>
      </c>
      <c r="C38">
        <f t="shared" si="1"/>
        <v>4999.4495980043257</v>
      </c>
      <c r="D38">
        <f>$H$3-SUM($E$6:E38)</f>
        <v>17998018.552815571</v>
      </c>
      <c r="E38">
        <f t="shared" si="0"/>
        <v>-19.865629104970822</v>
      </c>
      <c r="F38">
        <v>791.75999999999988</v>
      </c>
      <c r="G38">
        <v>-811.6256291049707</v>
      </c>
    </row>
    <row r="39" spans="1:7" x14ac:dyDescent="0.55000000000000004">
      <c r="A39">
        <v>34</v>
      </c>
      <c r="B39" s="8">
        <v>43752.479166666664</v>
      </c>
      <c r="C39">
        <f t="shared" si="1"/>
        <v>4999.453499567966</v>
      </c>
      <c r="D39">
        <f>$H$3-SUM($E$6:E39)</f>
        <v>17998032.598444678</v>
      </c>
      <c r="E39">
        <f t="shared" si="0"/>
        <v>-14.045629104970772</v>
      </c>
      <c r="F39">
        <v>797.57999999999993</v>
      </c>
      <c r="G39">
        <v>-811.6256291049707</v>
      </c>
    </row>
    <row r="40" spans="1:7" x14ac:dyDescent="0.55000000000000004">
      <c r="A40">
        <v>35</v>
      </c>
      <c r="B40" s="8">
        <v>43752.486111111109</v>
      </c>
      <c r="C40">
        <f t="shared" si="1"/>
        <v>4999.4562344649394</v>
      </c>
      <c r="D40">
        <f>$H$3-SUM($E$6:E40)</f>
        <v>17998042.444073781</v>
      </c>
      <c r="E40">
        <f t="shared" si="0"/>
        <v>-9.8456291049707261</v>
      </c>
      <c r="F40">
        <v>801.78</v>
      </c>
      <c r="G40">
        <v>-811.6256291049707</v>
      </c>
    </row>
    <row r="41" spans="1:7" x14ac:dyDescent="0.55000000000000004">
      <c r="A41">
        <v>36</v>
      </c>
      <c r="B41" s="8">
        <v>43752.493055555555</v>
      </c>
      <c r="C41">
        <f t="shared" si="1"/>
        <v>4999.4582693619122</v>
      </c>
      <c r="D41">
        <f>$H$3-SUM($E$6:E41)</f>
        <v>17998049.769702885</v>
      </c>
      <c r="E41">
        <f t="shared" si="0"/>
        <v>-7.3256291049707443</v>
      </c>
      <c r="F41">
        <v>804.3</v>
      </c>
      <c r="G41">
        <v>-811.6256291049707</v>
      </c>
    </row>
    <row r="42" spans="1:7" x14ac:dyDescent="0.55000000000000004">
      <c r="A42">
        <v>37</v>
      </c>
      <c r="B42" s="8">
        <v>43752.5</v>
      </c>
      <c r="C42">
        <f t="shared" si="1"/>
        <v>4999.4600875922197</v>
      </c>
      <c r="D42">
        <f>$H$3-SUM($E$6:E42)</f>
        <v>17998056.315331992</v>
      </c>
      <c r="E42">
        <f t="shared" si="0"/>
        <v>-6.5456291049707716</v>
      </c>
      <c r="F42">
        <v>805.07999999999993</v>
      </c>
      <c r="G42">
        <v>-811.6256291049707</v>
      </c>
    </row>
    <row r="43" spans="1:7" x14ac:dyDescent="0.55000000000000004">
      <c r="A43">
        <v>38</v>
      </c>
      <c r="B43" s="8">
        <v>43752.506944444445</v>
      </c>
      <c r="C43">
        <f t="shared" si="1"/>
        <v>4999.4621224891935</v>
      </c>
      <c r="D43">
        <f>$H$3-SUM($E$6:E43)</f>
        <v>17998063.640961096</v>
      </c>
      <c r="E43">
        <f t="shared" si="0"/>
        <v>-7.3256291049707443</v>
      </c>
      <c r="F43">
        <v>804.3</v>
      </c>
      <c r="G43">
        <v>-811.6256291049707</v>
      </c>
    </row>
    <row r="44" spans="1:7" x14ac:dyDescent="0.55000000000000004">
      <c r="A44">
        <v>39</v>
      </c>
      <c r="B44" s="8">
        <v>43752.513888888891</v>
      </c>
      <c r="C44">
        <f t="shared" si="1"/>
        <v>4999.4648573861678</v>
      </c>
      <c r="D44">
        <f>$H$3-SUM($E$6:E44)</f>
        <v>17998073.486590203</v>
      </c>
      <c r="E44">
        <f t="shared" si="0"/>
        <v>-9.8456291049707261</v>
      </c>
      <c r="F44">
        <v>801.78</v>
      </c>
      <c r="G44">
        <v>-811.6256291049707</v>
      </c>
    </row>
    <row r="45" spans="1:7" x14ac:dyDescent="0.55000000000000004">
      <c r="A45">
        <v>40</v>
      </c>
      <c r="B45" s="8">
        <v>43752.520833333336</v>
      </c>
      <c r="C45">
        <f t="shared" si="1"/>
        <v>4999.4687589498071</v>
      </c>
      <c r="D45">
        <f>$H$3-SUM($E$6:E45)</f>
        <v>17998087.532219306</v>
      </c>
      <c r="E45">
        <f t="shared" si="0"/>
        <v>-14.045629104970772</v>
      </c>
      <c r="F45">
        <v>797.57999999999993</v>
      </c>
      <c r="G45">
        <v>-811.6256291049707</v>
      </c>
    </row>
    <row r="46" spans="1:7" x14ac:dyDescent="0.55000000000000004">
      <c r="A46">
        <v>41</v>
      </c>
      <c r="B46" s="8">
        <v>43752.527777777781</v>
      </c>
      <c r="C46">
        <f t="shared" si="1"/>
        <v>4999.474260513447</v>
      </c>
      <c r="D46">
        <f>$H$3-SUM($E$6:E46)</f>
        <v>17998107.33784841</v>
      </c>
      <c r="E46">
        <f t="shared" si="0"/>
        <v>-19.805629104970649</v>
      </c>
      <c r="F46">
        <v>791.82</v>
      </c>
      <c r="G46">
        <v>-811.6256291049707</v>
      </c>
    </row>
    <row r="47" spans="1:7" x14ac:dyDescent="0.55000000000000004">
      <c r="A47">
        <v>42</v>
      </c>
      <c r="B47" s="8">
        <v>43752.534722222219</v>
      </c>
      <c r="C47">
        <f t="shared" si="1"/>
        <v>4999.4818454104216</v>
      </c>
      <c r="D47">
        <f>$H$3-SUM($E$6:E47)</f>
        <v>17998134.643477518</v>
      </c>
      <c r="E47">
        <f t="shared" si="0"/>
        <v>-27.305629104970649</v>
      </c>
      <c r="F47">
        <v>784.32</v>
      </c>
      <c r="G47">
        <v>-811.6256291049707</v>
      </c>
    </row>
    <row r="48" spans="1:7" x14ac:dyDescent="0.55000000000000004">
      <c r="A48">
        <v>43</v>
      </c>
      <c r="B48" s="8">
        <v>43752.541666666664</v>
      </c>
      <c r="C48">
        <f t="shared" si="1"/>
        <v>4999.4919469740616</v>
      </c>
      <c r="D48">
        <f>$H$3-SUM($E$6:E48)</f>
        <v>17998171.009106621</v>
      </c>
      <c r="E48">
        <f t="shared" si="0"/>
        <v>-36.365629104970822</v>
      </c>
      <c r="F48">
        <v>775.25999999999988</v>
      </c>
      <c r="G48">
        <v>-811.6256291049707</v>
      </c>
    </row>
    <row r="49" spans="1:7" x14ac:dyDescent="0.55000000000000004">
      <c r="A49">
        <v>44</v>
      </c>
      <c r="B49" s="8">
        <v>43752.548611111109</v>
      </c>
      <c r="C49">
        <f t="shared" si="1"/>
        <v>4999.5050152043686</v>
      </c>
      <c r="D49">
        <f>$H$3-SUM($E$6:E49)</f>
        <v>17998218.054735728</v>
      </c>
      <c r="E49">
        <f t="shared" si="0"/>
        <v>-47.045629104970772</v>
      </c>
      <c r="F49">
        <v>764.57999999999993</v>
      </c>
      <c r="G49">
        <v>-811.6256291049707</v>
      </c>
    </row>
    <row r="50" spans="1:7" x14ac:dyDescent="0.55000000000000004">
      <c r="A50">
        <v>45</v>
      </c>
      <c r="B50" s="8">
        <v>43752.555555555555</v>
      </c>
      <c r="C50">
        <f t="shared" si="1"/>
        <v>4999.5215001013421</v>
      </c>
      <c r="D50">
        <f>$H$3-SUM($E$6:E50)</f>
        <v>17998277.400364831</v>
      </c>
      <c r="E50">
        <f t="shared" si="0"/>
        <v>-59.345629104970726</v>
      </c>
      <c r="F50">
        <v>752.28</v>
      </c>
      <c r="G50">
        <v>-811.6256291049707</v>
      </c>
    </row>
    <row r="51" spans="1:7" x14ac:dyDescent="0.55000000000000004">
      <c r="A51">
        <v>46</v>
      </c>
      <c r="B51" s="8">
        <v>43752.5625</v>
      </c>
      <c r="C51">
        <f t="shared" si="1"/>
        <v>4999.5418349983156</v>
      </c>
      <c r="D51">
        <f>$H$3-SUM($E$6:E51)</f>
        <v>17998350.605993938</v>
      </c>
      <c r="E51">
        <f t="shared" si="0"/>
        <v>-73.20562910497074</v>
      </c>
      <c r="F51">
        <v>738.42</v>
      </c>
      <c r="G51">
        <v>-811.6256291049707</v>
      </c>
    </row>
    <row r="52" spans="1:7" x14ac:dyDescent="0.55000000000000004">
      <c r="A52">
        <v>47</v>
      </c>
      <c r="B52" s="8">
        <v>43752.569444444445</v>
      </c>
      <c r="C52">
        <f t="shared" si="1"/>
        <v>4999.5664365619559</v>
      </c>
      <c r="D52">
        <f>$H$3-SUM($E$6:E52)</f>
        <v>17998439.17162304</v>
      </c>
      <c r="E52">
        <f t="shared" si="0"/>
        <v>-88.565629104970753</v>
      </c>
      <c r="F52">
        <v>723.06</v>
      </c>
      <c r="G52">
        <v>-811.6256291049707</v>
      </c>
    </row>
    <row r="53" spans="1:7" x14ac:dyDescent="0.55000000000000004">
      <c r="A53">
        <v>48</v>
      </c>
      <c r="B53" s="8">
        <v>43752.576388888891</v>
      </c>
      <c r="C53">
        <f t="shared" si="1"/>
        <v>4999.5957381255967</v>
      </c>
      <c r="D53">
        <f>$H$3-SUM($E$6:E53)</f>
        <v>17998544.657252148</v>
      </c>
      <c r="E53">
        <f t="shared" si="0"/>
        <v>-105.48562910497071</v>
      </c>
      <c r="F53">
        <v>706.14</v>
      </c>
      <c r="G53">
        <v>-811.6256291049707</v>
      </c>
    </row>
    <row r="54" spans="1:7" x14ac:dyDescent="0.55000000000000004">
      <c r="A54">
        <v>49</v>
      </c>
      <c r="B54" s="8">
        <v>43752.583333333336</v>
      </c>
      <c r="C54">
        <f t="shared" si="1"/>
        <v>4999.6301230225699</v>
      </c>
      <c r="D54">
        <f>$H$3-SUM($E$6:E54)</f>
        <v>17998668.442881253</v>
      </c>
      <c r="E54">
        <f t="shared" si="0"/>
        <v>-123.78562910497067</v>
      </c>
      <c r="F54">
        <v>687.84</v>
      </c>
      <c r="G54">
        <v>-811.6256291049707</v>
      </c>
    </row>
    <row r="55" spans="1:7" x14ac:dyDescent="0.55000000000000004">
      <c r="A55">
        <v>50</v>
      </c>
      <c r="B55" s="8">
        <v>43752.590277777781</v>
      </c>
      <c r="C55">
        <f t="shared" si="1"/>
        <v>4999.6700079195443</v>
      </c>
      <c r="D55">
        <f>$H$3-SUM($E$6:E55)</f>
        <v>17998812.028510358</v>
      </c>
      <c r="E55">
        <f t="shared" si="0"/>
        <v>-143.58562910497062</v>
      </c>
      <c r="F55">
        <v>668.04000000000008</v>
      </c>
      <c r="G55">
        <v>-811.6256291049707</v>
      </c>
    </row>
    <row r="56" spans="1:7" x14ac:dyDescent="0.55000000000000004">
      <c r="A56">
        <v>51</v>
      </c>
      <c r="B56" s="8">
        <v>43752.597222222219</v>
      </c>
      <c r="C56">
        <f t="shared" si="1"/>
        <v>4999.7157761498502</v>
      </c>
      <c r="D56">
        <f>$H$3-SUM($E$6:E56)</f>
        <v>17998976.79413946</v>
      </c>
      <c r="E56">
        <f t="shared" si="0"/>
        <v>-164.7656291049708</v>
      </c>
      <c r="F56">
        <v>646.8599999999999</v>
      </c>
      <c r="G56">
        <v>-811.6256291049707</v>
      </c>
    </row>
    <row r="57" spans="1:7" x14ac:dyDescent="0.55000000000000004">
      <c r="A57">
        <v>52</v>
      </c>
      <c r="B57" s="8">
        <v>43752.604166666664</v>
      </c>
      <c r="C57">
        <f t="shared" si="1"/>
        <v>4999.7677943801573</v>
      </c>
      <c r="D57">
        <f>$H$3-SUM($E$6:E57)</f>
        <v>17999164.059768565</v>
      </c>
      <c r="E57">
        <f t="shared" si="0"/>
        <v>-187.2656291049708</v>
      </c>
      <c r="F57">
        <v>624.3599999999999</v>
      </c>
      <c r="G57">
        <v>-811.6256291049707</v>
      </c>
    </row>
    <row r="58" spans="1:7" x14ac:dyDescent="0.55000000000000004">
      <c r="A58">
        <v>53</v>
      </c>
      <c r="B58" s="8">
        <v>43752.611111111109</v>
      </c>
      <c r="C58">
        <f t="shared" si="1"/>
        <v>4999.826429277131</v>
      </c>
      <c r="D58">
        <f>$H$3-SUM($E$6:E58)</f>
        <v>17999375.145397671</v>
      </c>
      <c r="E58">
        <f t="shared" si="0"/>
        <v>-211.08562910497074</v>
      </c>
      <c r="F58">
        <v>600.54</v>
      </c>
      <c r="G58">
        <v>-811.6256291049707</v>
      </c>
    </row>
    <row r="59" spans="1:7" x14ac:dyDescent="0.55000000000000004">
      <c r="A59">
        <v>54</v>
      </c>
      <c r="B59" s="8">
        <v>43752.618055555555</v>
      </c>
      <c r="C59">
        <f t="shared" si="1"/>
        <v>4999.8920308407714</v>
      </c>
      <c r="D59">
        <f>$H$3-SUM($E$6:E59)</f>
        <v>17999611.311026778</v>
      </c>
      <c r="E59">
        <f t="shared" si="0"/>
        <v>-236.16562910497066</v>
      </c>
      <c r="F59">
        <v>575.46</v>
      </c>
      <c r="G59">
        <v>-811.6256291049707</v>
      </c>
    </row>
    <row r="60" spans="1:7" x14ac:dyDescent="0.55000000000000004">
      <c r="A60">
        <v>55</v>
      </c>
      <c r="B60" s="8">
        <v>43752.625</v>
      </c>
      <c r="C60">
        <f t="shared" si="1"/>
        <v>4999.9649157377444</v>
      </c>
      <c r="D60">
        <f>$H$3-SUM($E$6:E60)</f>
        <v>17999873.696655881</v>
      </c>
      <c r="E60">
        <f t="shared" si="0"/>
        <v>-262.38562910497069</v>
      </c>
      <c r="F60">
        <v>549.24</v>
      </c>
      <c r="G60">
        <v>-811.6256291049707</v>
      </c>
    </row>
    <row r="61" spans="1:7" x14ac:dyDescent="0.55000000000000004">
      <c r="A61">
        <v>56</v>
      </c>
      <c r="B61" s="8">
        <v>43752.631944444445</v>
      </c>
      <c r="C61">
        <f t="shared" si="1"/>
        <v>5000.0454006347181</v>
      </c>
      <c r="D61">
        <f>$H$3-SUM($E$6:E61)</f>
        <v>18000163.442284986</v>
      </c>
      <c r="E61">
        <f t="shared" si="0"/>
        <v>-289.7456291049707</v>
      </c>
      <c r="F61">
        <v>521.88</v>
      </c>
      <c r="G61">
        <v>-811.6256291049707</v>
      </c>
    </row>
    <row r="62" spans="1:7" x14ac:dyDescent="0.55000000000000004">
      <c r="A62">
        <v>57</v>
      </c>
      <c r="B62" s="8">
        <v>43752.638888888891</v>
      </c>
      <c r="C62">
        <f t="shared" si="1"/>
        <v>5000.1337855316915</v>
      </c>
      <c r="D62">
        <f>$H$3-SUM($E$6:E62)</f>
        <v>18000481.62791409</v>
      </c>
      <c r="E62">
        <f t="shared" si="0"/>
        <v>-318.18562910497076</v>
      </c>
      <c r="F62">
        <v>493.43999999999994</v>
      </c>
      <c r="G62">
        <v>-811.6256291049707</v>
      </c>
    </row>
    <row r="63" spans="1:7" x14ac:dyDescent="0.55000000000000004">
      <c r="A63">
        <v>58</v>
      </c>
      <c r="B63" s="8">
        <v>43752.645833333336</v>
      </c>
      <c r="C63">
        <f t="shared" si="1"/>
        <v>5000.2303370953323</v>
      </c>
      <c r="D63">
        <f>$H$3-SUM($E$6:E63)</f>
        <v>18000829.213543195</v>
      </c>
      <c r="E63">
        <f t="shared" si="0"/>
        <v>-347.58562910497074</v>
      </c>
      <c r="F63">
        <v>464.03999999999996</v>
      </c>
      <c r="G63">
        <v>-811.6256291049707</v>
      </c>
    </row>
    <row r="64" spans="1:7" x14ac:dyDescent="0.55000000000000004">
      <c r="A64">
        <v>59</v>
      </c>
      <c r="B64" s="8">
        <v>43752.652777777781</v>
      </c>
      <c r="C64">
        <f t="shared" si="1"/>
        <v>5000.3353219923056</v>
      </c>
      <c r="D64">
        <f>$H$3-SUM($E$6:E64)</f>
        <v>18001207.1591723</v>
      </c>
      <c r="E64">
        <f t="shared" si="0"/>
        <v>-377.94562910497075</v>
      </c>
      <c r="F64">
        <v>433.67999999999995</v>
      </c>
      <c r="G64">
        <v>-811.6256291049707</v>
      </c>
    </row>
    <row r="65" spans="1:7" x14ac:dyDescent="0.55000000000000004">
      <c r="A65">
        <v>60</v>
      </c>
      <c r="B65" s="8">
        <v>43752.659722222219</v>
      </c>
      <c r="C65">
        <f t="shared" si="1"/>
        <v>5000.4489735559455</v>
      </c>
      <c r="D65">
        <f>$H$3-SUM($E$6:E65)</f>
        <v>18001616.304801404</v>
      </c>
      <c r="E65">
        <f t="shared" si="0"/>
        <v>-409.14562910497074</v>
      </c>
      <c r="F65">
        <v>402.47999999999996</v>
      </c>
      <c r="G65">
        <v>-811.6256291049707</v>
      </c>
    </row>
    <row r="66" spans="1:7" x14ac:dyDescent="0.55000000000000004">
      <c r="A66">
        <v>61</v>
      </c>
      <c r="B66" s="8">
        <v>43752.666666666664</v>
      </c>
      <c r="C66">
        <f t="shared" si="1"/>
        <v>5000.5715084529202</v>
      </c>
      <c r="D66">
        <f>$H$3-SUM($E$6:E66)</f>
        <v>18002057.430430513</v>
      </c>
      <c r="E66">
        <f t="shared" si="0"/>
        <v>-441.1256291049707</v>
      </c>
      <c r="F66">
        <v>370.5</v>
      </c>
      <c r="G66">
        <v>-811.6256291049707</v>
      </c>
    </row>
    <row r="67" spans="1:7" x14ac:dyDescent="0.55000000000000004">
      <c r="A67">
        <v>62</v>
      </c>
      <c r="B67" s="8">
        <v>43752.673611111109</v>
      </c>
      <c r="C67">
        <f t="shared" si="1"/>
        <v>5000.7030933498936</v>
      </c>
      <c r="D67">
        <f>$H$3-SUM($E$6:E67)</f>
        <v>18002531.136059616</v>
      </c>
      <c r="E67">
        <f t="shared" si="0"/>
        <v>-473.70562910497068</v>
      </c>
      <c r="F67">
        <v>337.92</v>
      </c>
      <c r="G67">
        <v>-811.6256291049707</v>
      </c>
    </row>
    <row r="68" spans="1:7" x14ac:dyDescent="0.55000000000000004">
      <c r="A68">
        <v>63</v>
      </c>
      <c r="B68" s="8">
        <v>43752.680555555555</v>
      </c>
      <c r="C68">
        <f t="shared" si="1"/>
        <v>5000.8438949135343</v>
      </c>
      <c r="D68">
        <f>$H$3-SUM($E$6:E68)</f>
        <v>18003038.021688722</v>
      </c>
      <c r="E68">
        <f t="shared" si="0"/>
        <v>-506.88562910497075</v>
      </c>
      <c r="F68">
        <v>304.73999999999995</v>
      </c>
      <c r="G68">
        <v>-811.6256291049707</v>
      </c>
    </row>
    <row r="69" spans="1:7" x14ac:dyDescent="0.55000000000000004">
      <c r="A69">
        <v>64</v>
      </c>
      <c r="B69" s="8">
        <v>43752.6875</v>
      </c>
      <c r="C69">
        <f t="shared" si="1"/>
        <v>5000.9940131438407</v>
      </c>
      <c r="D69">
        <f>$H$3-SUM($E$6:E69)</f>
        <v>18003578.447317827</v>
      </c>
      <c r="E69">
        <f t="shared" si="0"/>
        <v>-540.42562910497077</v>
      </c>
      <c r="F69">
        <v>271.2</v>
      </c>
      <c r="G69">
        <v>-811.6256291049707</v>
      </c>
    </row>
    <row r="70" spans="1:7" x14ac:dyDescent="0.55000000000000004">
      <c r="A70">
        <v>65</v>
      </c>
      <c r="B70" s="8">
        <v>43752.694444444445</v>
      </c>
      <c r="C70">
        <f t="shared" si="1"/>
        <v>5001.1535480408147</v>
      </c>
      <c r="D70">
        <f>$H$3-SUM($E$6:E70)</f>
        <v>18004152.772946931</v>
      </c>
      <c r="E70">
        <f t="shared" si="0"/>
        <v>-574.32562910497074</v>
      </c>
      <c r="F70">
        <v>237.29999999999998</v>
      </c>
      <c r="G70">
        <v>-811.6256291049707</v>
      </c>
    </row>
    <row r="71" spans="1:7" x14ac:dyDescent="0.55000000000000004">
      <c r="A71">
        <v>66</v>
      </c>
      <c r="B71" s="8">
        <v>43752.701388888891</v>
      </c>
      <c r="C71">
        <f t="shared" si="1"/>
        <v>5001.3224996044546</v>
      </c>
      <c r="D71">
        <f>$H$3-SUM($E$6:E71)</f>
        <v>18004760.998576038</v>
      </c>
      <c r="E71">
        <f t="shared" ref="E71:E84" si="2">F71+G71</f>
        <v>-608.22562910497072</v>
      </c>
      <c r="F71">
        <v>203.4</v>
      </c>
      <c r="G71">
        <v>-811.6256291049707</v>
      </c>
    </row>
    <row r="72" spans="1:7" x14ac:dyDescent="0.55000000000000004">
      <c r="A72">
        <v>67</v>
      </c>
      <c r="B72" s="8">
        <v>43752.708333333336</v>
      </c>
      <c r="C72">
        <f t="shared" ref="C72:C84" si="3">D72/3600</f>
        <v>5001.5008345014285</v>
      </c>
      <c r="D72">
        <f>$H$3-SUM($E$6:E72)</f>
        <v>18005403.004205141</v>
      </c>
      <c r="E72">
        <f t="shared" si="2"/>
        <v>-642.00562910497069</v>
      </c>
      <c r="F72">
        <v>169.61999999999998</v>
      </c>
      <c r="G72">
        <v>-811.6256291049707</v>
      </c>
    </row>
    <row r="73" spans="1:7" x14ac:dyDescent="0.55000000000000004">
      <c r="A73">
        <v>68</v>
      </c>
      <c r="B73" s="8">
        <v>43752.715277777781</v>
      </c>
      <c r="C73">
        <f t="shared" si="3"/>
        <v>5001.4629845014279</v>
      </c>
      <c r="D73">
        <f>$H$3-SUM($E$6:E73)</f>
        <v>18005266.74420514</v>
      </c>
      <c r="E73">
        <f t="shared" si="2"/>
        <v>136.26</v>
      </c>
      <c r="F73">
        <v>136.26</v>
      </c>
      <c r="G73">
        <v>0</v>
      </c>
    </row>
    <row r="74" spans="1:7" x14ac:dyDescent="0.55000000000000004">
      <c r="A74">
        <v>69</v>
      </c>
      <c r="B74" s="8">
        <v>43752.722222222219</v>
      </c>
      <c r="C74">
        <f t="shared" si="3"/>
        <v>5001.4341178347613</v>
      </c>
      <c r="D74">
        <f>$H$3-SUM($E$6:E74)</f>
        <v>18005162.824205142</v>
      </c>
      <c r="E74">
        <f t="shared" si="2"/>
        <v>103.91999999999999</v>
      </c>
      <c r="F74">
        <v>103.91999999999999</v>
      </c>
      <c r="G74">
        <v>0</v>
      </c>
    </row>
    <row r="75" spans="1:7" x14ac:dyDescent="0.55000000000000004">
      <c r="A75">
        <v>70</v>
      </c>
      <c r="B75" s="8">
        <v>43752.729166666664</v>
      </c>
      <c r="C75">
        <f t="shared" si="3"/>
        <v>5001.4138011680943</v>
      </c>
      <c r="D75">
        <f>$H$3-SUM($E$6:E75)</f>
        <v>18005089.684205141</v>
      </c>
      <c r="E75">
        <f t="shared" si="2"/>
        <v>73.14</v>
      </c>
      <c r="F75">
        <v>73.14</v>
      </c>
      <c r="G75">
        <v>0</v>
      </c>
    </row>
    <row r="76" spans="1:7" x14ac:dyDescent="0.55000000000000004">
      <c r="A76">
        <v>71</v>
      </c>
      <c r="B76" s="8">
        <v>43752.736111111109</v>
      </c>
      <c r="C76">
        <f t="shared" si="3"/>
        <v>5001.4012845014286</v>
      </c>
      <c r="D76">
        <f>$H$3-SUM($E$6:E76)</f>
        <v>18005044.624205142</v>
      </c>
      <c r="E76">
        <f t="shared" si="2"/>
        <v>45.059999999999995</v>
      </c>
      <c r="F76">
        <v>45.059999999999995</v>
      </c>
      <c r="G76">
        <v>0</v>
      </c>
    </row>
    <row r="77" spans="1:7" x14ac:dyDescent="0.55000000000000004">
      <c r="A77">
        <v>72</v>
      </c>
      <c r="B77" s="8">
        <v>43752.743055555555</v>
      </c>
      <c r="C77">
        <f t="shared" si="3"/>
        <v>5001.3952845014283</v>
      </c>
      <c r="D77">
        <f>$H$3-SUM($E$6:E77)</f>
        <v>18005023.024205141</v>
      </c>
      <c r="E77">
        <f t="shared" si="2"/>
        <v>21.599999999999998</v>
      </c>
      <c r="F77">
        <v>21.599999999999998</v>
      </c>
      <c r="G77">
        <v>0</v>
      </c>
    </row>
    <row r="78" spans="1:7" x14ac:dyDescent="0.55000000000000004">
      <c r="A78">
        <v>73</v>
      </c>
      <c r="B78" s="8">
        <v>43752.75</v>
      </c>
      <c r="C78">
        <f t="shared" si="3"/>
        <v>5001.3936511680949</v>
      </c>
      <c r="D78">
        <f>$H$3-SUM($E$6:E78)</f>
        <v>18005017.144205142</v>
      </c>
      <c r="E78">
        <f t="shared" si="2"/>
        <v>5.88</v>
      </c>
      <c r="F78">
        <v>5.88</v>
      </c>
      <c r="G78">
        <v>0</v>
      </c>
    </row>
    <row r="79" spans="1:7" x14ac:dyDescent="0.55000000000000004">
      <c r="B79" s="8"/>
    </row>
    <row r="80" spans="1:7" x14ac:dyDescent="0.55000000000000004">
      <c r="B80" s="8"/>
    </row>
    <row r="81" spans="2:2" x14ac:dyDescent="0.55000000000000004">
      <c r="B81" s="8"/>
    </row>
    <row r="82" spans="2:2" x14ac:dyDescent="0.55000000000000004">
      <c r="B82" s="8"/>
    </row>
    <row r="83" spans="2:2" x14ac:dyDescent="0.55000000000000004">
      <c r="B83" s="8"/>
    </row>
    <row r="84" spans="2:2" x14ac:dyDescent="0.55000000000000004">
      <c r="B84" s="8"/>
    </row>
  </sheetData>
  <mergeCells count="1">
    <mergeCell ref="F3:G3"/>
  </mergeCells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DataPB2">
                <anchor moveWithCells="1" sizeWithCells="1">
                  <from>
                    <xdr:col>9</xdr:col>
                    <xdr:colOff>6350</xdr:colOff>
                    <xdr:row>1</xdr:row>
                    <xdr:rowOff>0</xdr:rowOff>
                  </from>
                  <to>
                    <xdr:col>11</xdr:col>
                    <xdr:colOff>654050</xdr:colOff>
                    <xdr:row>1</xdr:row>
                    <xdr:rowOff>215900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4" name="Button 2">
              <controlPr defaultSize="0" print="0" autoFill="0" autoPict="0" macro="[0]!Module2.Main_Day1_2に追加">
                <anchor moveWithCells="1" sizeWithCells="1">
                  <from>
                    <xdr:col>13</xdr:col>
                    <xdr:colOff>19050</xdr:colOff>
                    <xdr:row>0</xdr:row>
                    <xdr:rowOff>196850</xdr:rowOff>
                  </from>
                  <to>
                    <xdr:col>15</xdr:col>
                    <xdr:colOff>342900</xdr:colOff>
                    <xdr:row>2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0671F6-3598-4483-ABE7-31254E1FBE8C}">
  <sheetPr codeName="Sheet5"/>
  <dimension ref="A1:H78"/>
  <sheetViews>
    <sheetView topLeftCell="A64" zoomScale="70" zoomScaleNormal="70" workbookViewId="0">
      <selection activeCell="I89" sqref="I89"/>
    </sheetView>
  </sheetViews>
  <sheetFormatPr defaultRowHeight="18" x14ac:dyDescent="0.55000000000000004"/>
  <cols>
    <col min="2" max="2" width="18.4140625" customWidth="1"/>
    <col min="3" max="3" width="16.5" customWidth="1"/>
    <col min="4" max="4" width="15.6640625" customWidth="1"/>
    <col min="8" max="8" width="11.25" bestFit="1" customWidth="1"/>
  </cols>
  <sheetData>
    <row r="1" spans="1:8" x14ac:dyDescent="0.55000000000000004">
      <c r="A1" t="s">
        <v>1</v>
      </c>
    </row>
    <row r="2" spans="1:8" x14ac:dyDescent="0.55000000000000004">
      <c r="A2" s="2" t="s">
        <v>2</v>
      </c>
      <c r="B2" s="1" t="s">
        <v>3</v>
      </c>
      <c r="C2" s="2" t="s">
        <v>2</v>
      </c>
      <c r="D2" s="1" t="s">
        <v>4</v>
      </c>
      <c r="F2" s="5" t="s">
        <v>15</v>
      </c>
      <c r="G2" s="4" t="s">
        <v>9</v>
      </c>
      <c r="H2" s="1" t="s">
        <v>9</v>
      </c>
    </row>
    <row r="3" spans="1:8" x14ac:dyDescent="0.55000000000000004">
      <c r="A3" s="1" t="s">
        <v>5</v>
      </c>
      <c r="B3" s="1" t="s">
        <v>0</v>
      </c>
      <c r="C3" s="1" t="s">
        <v>5</v>
      </c>
      <c r="D3" s="1" t="s">
        <v>0</v>
      </c>
      <c r="F3" s="11" t="s">
        <v>17</v>
      </c>
      <c r="G3" s="11"/>
      <c r="H3">
        <f>Main_Day2!D78</f>
        <v>18005017.144205142</v>
      </c>
    </row>
    <row r="4" spans="1:8" x14ac:dyDescent="0.55000000000000004">
      <c r="A4" s="1"/>
      <c r="B4" s="1"/>
      <c r="C4" s="1"/>
      <c r="D4" s="1"/>
    </row>
    <row r="5" spans="1:8" x14ac:dyDescent="0.55000000000000004">
      <c r="A5" t="s">
        <v>7</v>
      </c>
      <c r="B5" s="3" t="s">
        <v>8</v>
      </c>
      <c r="C5" t="s">
        <v>16</v>
      </c>
      <c r="D5" t="s">
        <v>11</v>
      </c>
      <c r="E5" t="s">
        <v>12</v>
      </c>
      <c r="F5" t="s">
        <v>13</v>
      </c>
      <c r="G5" t="s">
        <v>14</v>
      </c>
    </row>
    <row r="6" spans="1:8" x14ac:dyDescent="0.55000000000000004">
      <c r="A6">
        <v>1</v>
      </c>
      <c r="B6" s="3">
        <v>43751.25</v>
      </c>
      <c r="C6">
        <f>D6/3600</f>
        <v>5001.3952845014283</v>
      </c>
      <c r="D6">
        <f>$H$3+SUM($E$6:E6)</f>
        <v>18005023.024205141</v>
      </c>
      <c r="E6">
        <f>F6+G6</f>
        <v>5.88</v>
      </c>
      <c r="F6">
        <v>5.88</v>
      </c>
      <c r="G6">
        <v>0</v>
      </c>
    </row>
    <row r="7" spans="1:8" x14ac:dyDescent="0.55000000000000004">
      <c r="A7">
        <v>2</v>
      </c>
      <c r="B7" s="3">
        <v>43751.256944444445</v>
      </c>
      <c r="C7">
        <f t="shared" ref="C7:C70" si="0">D7/3600</f>
        <v>5001.4012845014286</v>
      </c>
      <c r="D7">
        <f>$H$3+SUM($E$6:E7)</f>
        <v>18005044.624205142</v>
      </c>
      <c r="E7">
        <f t="shared" ref="E7:E70" si="1">F7+G7</f>
        <v>21.599999999999998</v>
      </c>
      <c r="F7">
        <v>21.599999999999998</v>
      </c>
      <c r="G7">
        <v>0</v>
      </c>
    </row>
    <row r="8" spans="1:8" x14ac:dyDescent="0.55000000000000004">
      <c r="A8">
        <v>3</v>
      </c>
      <c r="B8" s="3">
        <v>43751.263888888891</v>
      </c>
      <c r="C8">
        <f>D8/3600</f>
        <v>5001.4138011680943</v>
      </c>
      <c r="D8">
        <f>$H$3+SUM($E$6:E8)</f>
        <v>18005089.684205141</v>
      </c>
      <c r="E8">
        <f t="shared" si="1"/>
        <v>45.059999999999995</v>
      </c>
      <c r="F8">
        <v>45.059999999999995</v>
      </c>
      <c r="G8">
        <v>0</v>
      </c>
    </row>
    <row r="9" spans="1:8" x14ac:dyDescent="0.55000000000000004">
      <c r="A9">
        <v>4</v>
      </c>
      <c r="B9" s="3">
        <v>43751.270833333336</v>
      </c>
      <c r="C9">
        <f t="shared" si="0"/>
        <v>5001.4341011680954</v>
      </c>
      <c r="D9">
        <f>$H$3+SUM($E$6:E9)</f>
        <v>18005162.764205143</v>
      </c>
      <c r="E9">
        <f t="shared" si="1"/>
        <v>73.08</v>
      </c>
      <c r="F9">
        <v>73.08</v>
      </c>
      <c r="G9">
        <v>0</v>
      </c>
    </row>
    <row r="10" spans="1:8" x14ac:dyDescent="0.55000000000000004">
      <c r="A10">
        <v>5</v>
      </c>
      <c r="B10" s="3">
        <v>43751.277777777781</v>
      </c>
      <c r="C10">
        <f t="shared" si="0"/>
        <v>5001.4629511680951</v>
      </c>
      <c r="D10">
        <f>$H$3+SUM($E$6:E10)</f>
        <v>18005266.624205142</v>
      </c>
      <c r="E10">
        <f t="shared" si="1"/>
        <v>103.86</v>
      </c>
      <c r="F10">
        <v>103.86</v>
      </c>
      <c r="G10">
        <v>0</v>
      </c>
    </row>
    <row r="11" spans="1:8" x14ac:dyDescent="0.55000000000000004">
      <c r="A11">
        <v>6</v>
      </c>
      <c r="B11" s="3">
        <v>43751.284722222219</v>
      </c>
      <c r="C11">
        <f t="shared" si="0"/>
        <v>5001.5008011680948</v>
      </c>
      <c r="D11">
        <f>$H$3+SUM($E$6:E11)</f>
        <v>18005402.88420514</v>
      </c>
      <c r="E11">
        <f t="shared" si="1"/>
        <v>136.26</v>
      </c>
      <c r="F11">
        <v>136.26</v>
      </c>
      <c r="G11">
        <v>0</v>
      </c>
    </row>
    <row r="12" spans="1:8" x14ac:dyDescent="0.55000000000000004">
      <c r="A12">
        <v>7</v>
      </c>
      <c r="B12" s="3">
        <v>43751.291666666664</v>
      </c>
      <c r="C12">
        <f t="shared" si="0"/>
        <v>5001.5479011680954</v>
      </c>
      <c r="D12">
        <f>$H$3+SUM($E$6:E12)</f>
        <v>18005572.444205143</v>
      </c>
      <c r="E12">
        <f t="shared" si="1"/>
        <v>169.56</v>
      </c>
      <c r="F12">
        <v>169.56</v>
      </c>
      <c r="G12">
        <v>0</v>
      </c>
    </row>
    <row r="13" spans="1:8" x14ac:dyDescent="0.55000000000000004">
      <c r="A13">
        <v>8</v>
      </c>
      <c r="B13" s="3">
        <v>43751.298611111109</v>
      </c>
      <c r="C13">
        <f t="shared" si="0"/>
        <v>5001.6043845014283</v>
      </c>
      <c r="D13">
        <f>$H$3+SUM($E$6:E13)</f>
        <v>18005775.784205142</v>
      </c>
      <c r="E13">
        <f t="shared" si="1"/>
        <v>203.33999999999997</v>
      </c>
      <c r="F13">
        <v>203.33999999999997</v>
      </c>
      <c r="G13">
        <v>0</v>
      </c>
    </row>
    <row r="14" spans="1:8" x14ac:dyDescent="0.55000000000000004">
      <c r="A14">
        <v>9</v>
      </c>
      <c r="B14" s="3">
        <v>43751.305555555555</v>
      </c>
      <c r="C14">
        <f t="shared" si="0"/>
        <v>5001.6703011680956</v>
      </c>
      <c r="D14">
        <f>$H$3+SUM($E$6:E14)</f>
        <v>18006013.084205143</v>
      </c>
      <c r="E14">
        <f t="shared" si="1"/>
        <v>237.29999999999998</v>
      </c>
      <c r="F14">
        <v>237.29999999999998</v>
      </c>
      <c r="G14">
        <v>0</v>
      </c>
    </row>
    <row r="15" spans="1:8" x14ac:dyDescent="0.55000000000000004">
      <c r="A15">
        <v>10</v>
      </c>
      <c r="B15" s="3">
        <v>43751.3125</v>
      </c>
      <c r="C15">
        <f t="shared" si="0"/>
        <v>5001.7456178347611</v>
      </c>
      <c r="D15">
        <f>$H$3+SUM($E$6:E15)</f>
        <v>18006284.22420514</v>
      </c>
      <c r="E15">
        <f t="shared" si="1"/>
        <v>271.14</v>
      </c>
      <c r="F15">
        <v>271.14</v>
      </c>
      <c r="G15">
        <v>0</v>
      </c>
    </row>
    <row r="16" spans="1:8" x14ac:dyDescent="0.55000000000000004">
      <c r="A16">
        <v>11</v>
      </c>
      <c r="B16" s="3">
        <v>43751.319444444445</v>
      </c>
      <c r="C16">
        <f t="shared" si="0"/>
        <v>5001.8302678347618</v>
      </c>
      <c r="D16">
        <f>$H$3+SUM($E$6:E16)</f>
        <v>18006588.964205142</v>
      </c>
      <c r="E16">
        <f t="shared" si="1"/>
        <v>304.73999999999995</v>
      </c>
      <c r="F16">
        <v>304.73999999999995</v>
      </c>
      <c r="G16">
        <v>0</v>
      </c>
    </row>
    <row r="17" spans="1:7" x14ac:dyDescent="0.55000000000000004">
      <c r="A17">
        <v>12</v>
      </c>
      <c r="B17" s="3">
        <v>43751.326388888891</v>
      </c>
      <c r="C17">
        <f t="shared" si="0"/>
        <v>5001.9241178347611</v>
      </c>
      <c r="D17">
        <f>$H$3+SUM($E$6:E17)</f>
        <v>18006926.824205142</v>
      </c>
      <c r="E17">
        <f t="shared" si="1"/>
        <v>337.86</v>
      </c>
      <c r="F17">
        <v>337.86</v>
      </c>
      <c r="G17">
        <v>0</v>
      </c>
    </row>
    <row r="18" spans="1:7" x14ac:dyDescent="0.55000000000000004">
      <c r="A18">
        <v>13</v>
      </c>
      <c r="B18" s="3">
        <v>43751.333333333336</v>
      </c>
      <c r="C18">
        <f t="shared" si="0"/>
        <v>5002.2228714799758</v>
      </c>
      <c r="D18">
        <f>$H$3+SUM($E$6:E18)</f>
        <v>18008002.337327912</v>
      </c>
      <c r="E18">
        <f t="shared" si="1"/>
        <v>1075.5131227716388</v>
      </c>
      <c r="F18">
        <v>370.5</v>
      </c>
      <c r="G18">
        <v>705.01312277163879</v>
      </c>
    </row>
    <row r="19" spans="1:7" x14ac:dyDescent="0.55000000000000004">
      <c r="A19">
        <v>14</v>
      </c>
      <c r="B19" s="3">
        <v>43751.340277777781</v>
      </c>
      <c r="C19">
        <f t="shared" si="0"/>
        <v>5002.5304917918565</v>
      </c>
      <c r="D19">
        <f>$H$3+SUM($E$6:E19)</f>
        <v>18009109.770450685</v>
      </c>
      <c r="E19">
        <f t="shared" si="1"/>
        <v>1107.4331227716389</v>
      </c>
      <c r="F19">
        <v>402.42</v>
      </c>
      <c r="G19">
        <v>705.01312277163879</v>
      </c>
    </row>
    <row r="20" spans="1:7" x14ac:dyDescent="0.55000000000000004">
      <c r="A20">
        <v>15</v>
      </c>
      <c r="B20" s="3">
        <v>43751.347222222219</v>
      </c>
      <c r="C20">
        <f t="shared" si="0"/>
        <v>5002.8467787704049</v>
      </c>
      <c r="D20">
        <f>$H$3+SUM($E$6:E20)</f>
        <v>18010248.403573457</v>
      </c>
      <c r="E20">
        <f t="shared" si="1"/>
        <v>1138.6331227716387</v>
      </c>
      <c r="F20">
        <v>433.62</v>
      </c>
      <c r="G20">
        <v>705.01312277163879</v>
      </c>
    </row>
    <row r="21" spans="1:7" x14ac:dyDescent="0.55000000000000004">
      <c r="A21">
        <v>16</v>
      </c>
      <c r="B21" s="3">
        <v>43751.354166666664</v>
      </c>
      <c r="C21">
        <f t="shared" si="0"/>
        <v>5003.1714990822857</v>
      </c>
      <c r="D21">
        <f>$H$3+SUM($E$6:E21)</f>
        <v>18011417.396696229</v>
      </c>
      <c r="E21">
        <f t="shared" si="1"/>
        <v>1168.9931227716388</v>
      </c>
      <c r="F21">
        <v>463.97999999999996</v>
      </c>
      <c r="G21">
        <v>705.01312277163879</v>
      </c>
    </row>
    <row r="22" spans="1:7" x14ac:dyDescent="0.55000000000000004">
      <c r="A22">
        <v>17</v>
      </c>
      <c r="B22" s="3">
        <v>43751.361111111109</v>
      </c>
      <c r="C22">
        <f t="shared" si="0"/>
        <v>5003.5044027274998</v>
      </c>
      <c r="D22">
        <f>$H$3+SUM($E$6:E22)</f>
        <v>18012615.849819001</v>
      </c>
      <c r="E22">
        <f t="shared" si="1"/>
        <v>1198.4531227716388</v>
      </c>
      <c r="F22">
        <v>493.43999999999994</v>
      </c>
      <c r="G22">
        <v>705.01312277163879</v>
      </c>
    </row>
    <row r="23" spans="1:7" x14ac:dyDescent="0.55000000000000004">
      <c r="A23">
        <v>18</v>
      </c>
      <c r="B23" s="3">
        <v>43751.368055555555</v>
      </c>
      <c r="C23">
        <f t="shared" si="0"/>
        <v>5003.8452063727145</v>
      </c>
      <c r="D23">
        <f>$H$3+SUM($E$6:E23)</f>
        <v>18013842.742941771</v>
      </c>
      <c r="E23">
        <f t="shared" si="1"/>
        <v>1226.8931227716389</v>
      </c>
      <c r="F23">
        <v>521.88</v>
      </c>
      <c r="G23">
        <v>705.01312277163879</v>
      </c>
    </row>
    <row r="24" spans="1:7" x14ac:dyDescent="0.55000000000000004">
      <c r="A24">
        <v>19</v>
      </c>
      <c r="B24" s="3">
        <v>43751.375</v>
      </c>
      <c r="C24">
        <f t="shared" si="0"/>
        <v>5004.1936100179291</v>
      </c>
      <c r="D24">
        <f>$H$3+SUM($E$6:E24)</f>
        <v>18015096.996064544</v>
      </c>
      <c r="E24">
        <f t="shared" si="1"/>
        <v>1254.2531227716388</v>
      </c>
      <c r="F24">
        <v>549.24</v>
      </c>
      <c r="G24">
        <v>705.01312277163879</v>
      </c>
    </row>
    <row r="25" spans="1:7" x14ac:dyDescent="0.55000000000000004">
      <c r="A25">
        <v>20</v>
      </c>
      <c r="B25" s="3">
        <v>43751.381944444445</v>
      </c>
      <c r="C25">
        <f t="shared" si="0"/>
        <v>5004.5492969964762</v>
      </c>
      <c r="D25">
        <f>$H$3+SUM($E$6:E25)</f>
        <v>18016377.469187316</v>
      </c>
      <c r="E25">
        <f t="shared" si="1"/>
        <v>1280.4731227716388</v>
      </c>
      <c r="F25">
        <v>575.46</v>
      </c>
      <c r="G25">
        <v>705.01312277163879</v>
      </c>
    </row>
    <row r="26" spans="1:7" x14ac:dyDescent="0.55000000000000004">
      <c r="A26">
        <v>21</v>
      </c>
      <c r="B26" s="3">
        <v>43751.388888888891</v>
      </c>
      <c r="C26">
        <f t="shared" si="0"/>
        <v>5004.9119506416901</v>
      </c>
      <c r="D26">
        <f>$H$3+SUM($E$6:E26)</f>
        <v>18017683.022310086</v>
      </c>
      <c r="E26">
        <f t="shared" si="1"/>
        <v>1305.5531227716388</v>
      </c>
      <c r="F26">
        <v>600.54</v>
      </c>
      <c r="G26">
        <v>705.01312277163879</v>
      </c>
    </row>
    <row r="27" spans="1:7" x14ac:dyDescent="0.55000000000000004">
      <c r="A27">
        <v>22</v>
      </c>
      <c r="B27" s="3">
        <v>43751.395833333336</v>
      </c>
      <c r="C27">
        <f t="shared" si="0"/>
        <v>5005.2812042869045</v>
      </c>
      <c r="D27">
        <f>$H$3+SUM($E$6:E27)</f>
        <v>18019012.335432857</v>
      </c>
      <c r="E27">
        <f t="shared" si="1"/>
        <v>1329.3131227716387</v>
      </c>
      <c r="F27">
        <v>624.29999999999995</v>
      </c>
      <c r="G27">
        <v>705.01312277163879</v>
      </c>
    </row>
    <row r="28" spans="1:7" x14ac:dyDescent="0.55000000000000004">
      <c r="A28">
        <v>23</v>
      </c>
      <c r="B28" s="3">
        <v>43751.402777777781</v>
      </c>
      <c r="C28">
        <f t="shared" si="0"/>
        <v>5005.6567245987862</v>
      </c>
      <c r="D28">
        <f>$H$3+SUM($E$6:E28)</f>
        <v>18020364.208555631</v>
      </c>
      <c r="E28">
        <f t="shared" si="1"/>
        <v>1351.8731227716387</v>
      </c>
      <c r="F28">
        <v>646.8599999999999</v>
      </c>
      <c r="G28">
        <v>705.01312277163879</v>
      </c>
    </row>
    <row r="29" spans="1:7" x14ac:dyDescent="0.55000000000000004">
      <c r="A29">
        <v>24</v>
      </c>
      <c r="B29" s="3">
        <v>43751.409722222219</v>
      </c>
      <c r="C29">
        <f t="shared" si="0"/>
        <v>5006.0381282440003</v>
      </c>
      <c r="D29">
        <f>$H$3+SUM($E$6:E29)</f>
        <v>18021737.261678401</v>
      </c>
      <c r="E29">
        <f t="shared" si="1"/>
        <v>1373.0531227716388</v>
      </c>
      <c r="F29">
        <v>668.04000000000008</v>
      </c>
      <c r="G29">
        <v>705.01312277163879</v>
      </c>
    </row>
    <row r="30" spans="1:7" x14ac:dyDescent="0.55000000000000004">
      <c r="A30">
        <v>25</v>
      </c>
      <c r="B30" s="3">
        <v>43751.416666666664</v>
      </c>
      <c r="C30">
        <f t="shared" si="0"/>
        <v>5006.4250152225486</v>
      </c>
      <c r="D30">
        <f>$H$3+SUM($E$6:E30)</f>
        <v>18023130.054801174</v>
      </c>
      <c r="E30">
        <f t="shared" si="1"/>
        <v>1392.7931227716388</v>
      </c>
      <c r="F30">
        <v>687.78</v>
      </c>
      <c r="G30">
        <v>705.01312277163879</v>
      </c>
    </row>
    <row r="31" spans="1:7" x14ac:dyDescent="0.55000000000000004">
      <c r="A31">
        <v>26</v>
      </c>
      <c r="B31" s="3">
        <v>43751.423611111109</v>
      </c>
      <c r="C31">
        <f t="shared" si="0"/>
        <v>5006.8170022010954</v>
      </c>
      <c r="D31">
        <f>$H$3+SUM($E$6:E31)</f>
        <v>18024541.207923945</v>
      </c>
      <c r="E31">
        <f t="shared" si="1"/>
        <v>1411.1531227716387</v>
      </c>
      <c r="F31">
        <v>706.14</v>
      </c>
      <c r="G31">
        <v>705.01312277163879</v>
      </c>
    </row>
    <row r="32" spans="1:7" x14ac:dyDescent="0.55000000000000004">
      <c r="A32">
        <v>27</v>
      </c>
      <c r="B32" s="3">
        <v>43751.430555555555</v>
      </c>
      <c r="C32">
        <f t="shared" si="0"/>
        <v>5007.2136725129767</v>
      </c>
      <c r="D32">
        <f>$H$3+SUM($E$6:E32)</f>
        <v>18025969.221046716</v>
      </c>
      <c r="E32">
        <f t="shared" si="1"/>
        <v>1428.0131227716388</v>
      </c>
      <c r="F32">
        <v>723</v>
      </c>
      <c r="G32">
        <v>705.01312277163879</v>
      </c>
    </row>
    <row r="33" spans="1:7" x14ac:dyDescent="0.55000000000000004">
      <c r="A33">
        <v>28</v>
      </c>
      <c r="B33" s="3">
        <v>43751.4375</v>
      </c>
      <c r="C33">
        <f t="shared" si="0"/>
        <v>5007.6146261581916</v>
      </c>
      <c r="D33">
        <f>$H$3+SUM($E$6:E33)</f>
        <v>18027412.654169489</v>
      </c>
      <c r="E33">
        <f t="shared" si="1"/>
        <v>1443.4331227716389</v>
      </c>
      <c r="F33">
        <v>738.42</v>
      </c>
      <c r="G33">
        <v>705.01312277163879</v>
      </c>
    </row>
    <row r="34" spans="1:7" x14ac:dyDescent="0.55000000000000004">
      <c r="A34">
        <v>29</v>
      </c>
      <c r="B34" s="3">
        <v>43751.444444444445</v>
      </c>
      <c r="C34">
        <f t="shared" si="0"/>
        <v>5008.0194298034057</v>
      </c>
      <c r="D34">
        <f>$H$3+SUM($E$6:E34)</f>
        <v>18028869.947292261</v>
      </c>
      <c r="E34">
        <f t="shared" si="1"/>
        <v>1457.2931227716388</v>
      </c>
      <c r="F34">
        <v>752.28</v>
      </c>
      <c r="G34">
        <v>705.01312277163879</v>
      </c>
    </row>
    <row r="35" spans="1:7" x14ac:dyDescent="0.55000000000000004">
      <c r="A35">
        <v>30</v>
      </c>
      <c r="B35" s="3">
        <v>43751.451388888891</v>
      </c>
      <c r="C35">
        <f t="shared" si="0"/>
        <v>5008.4276334486194</v>
      </c>
      <c r="D35">
        <f>$H$3+SUM($E$6:E35)</f>
        <v>18030339.480415031</v>
      </c>
      <c r="E35">
        <f t="shared" si="1"/>
        <v>1469.5331227716388</v>
      </c>
      <c r="F35">
        <v>764.52</v>
      </c>
      <c r="G35">
        <v>705.01312277163879</v>
      </c>
    </row>
    <row r="36" spans="1:7" x14ac:dyDescent="0.55000000000000004">
      <c r="A36">
        <v>31</v>
      </c>
      <c r="B36" s="3">
        <v>43751.458333333336</v>
      </c>
      <c r="C36">
        <f t="shared" si="0"/>
        <v>5008.8388204271678</v>
      </c>
      <c r="D36">
        <f>$H$3+SUM($E$6:E36)</f>
        <v>18031819.753537804</v>
      </c>
      <c r="E36">
        <f t="shared" si="1"/>
        <v>1480.2731227716386</v>
      </c>
      <c r="F36">
        <v>775.25999999999988</v>
      </c>
      <c r="G36">
        <v>705.01312277163879</v>
      </c>
    </row>
    <row r="37" spans="1:7" x14ac:dyDescent="0.55000000000000004">
      <c r="A37">
        <v>32</v>
      </c>
      <c r="B37" s="3">
        <v>43751.465277777781</v>
      </c>
      <c r="C37">
        <f t="shared" si="0"/>
        <v>5009.2525240723817</v>
      </c>
      <c r="D37">
        <f>$H$3+SUM($E$6:E37)</f>
        <v>18033309.086660575</v>
      </c>
      <c r="E37">
        <f t="shared" si="1"/>
        <v>1489.333122771639</v>
      </c>
      <c r="F37">
        <v>784.32</v>
      </c>
      <c r="G37">
        <v>705.01312277163879</v>
      </c>
    </row>
    <row r="38" spans="1:7" x14ac:dyDescent="0.55000000000000004">
      <c r="A38">
        <v>33</v>
      </c>
      <c r="B38" s="3">
        <v>43751.472222222219</v>
      </c>
      <c r="C38">
        <f t="shared" si="0"/>
        <v>5009.6682943842634</v>
      </c>
      <c r="D38">
        <f>$H$3+SUM($E$6:E38)</f>
        <v>18034805.859783348</v>
      </c>
      <c r="E38">
        <f t="shared" si="1"/>
        <v>1496.7731227716386</v>
      </c>
      <c r="F38">
        <v>791.75999999999988</v>
      </c>
      <c r="G38">
        <v>705.01312277163879</v>
      </c>
    </row>
    <row r="39" spans="1:7" x14ac:dyDescent="0.55000000000000004">
      <c r="A39">
        <v>34</v>
      </c>
      <c r="B39" s="3">
        <v>43751.479166666664</v>
      </c>
      <c r="C39">
        <f t="shared" si="0"/>
        <v>5010.0856813628106</v>
      </c>
      <c r="D39">
        <f>$H$3+SUM($E$6:E39)</f>
        <v>18036308.452906117</v>
      </c>
      <c r="E39">
        <f t="shared" si="1"/>
        <v>1502.5931227716387</v>
      </c>
      <c r="F39">
        <v>797.57999999999993</v>
      </c>
      <c r="G39">
        <v>705.01312277163879</v>
      </c>
    </row>
    <row r="40" spans="1:7" x14ac:dyDescent="0.55000000000000004">
      <c r="A40">
        <v>35</v>
      </c>
      <c r="B40" s="3">
        <v>43751.486111111109</v>
      </c>
      <c r="C40">
        <f t="shared" si="0"/>
        <v>5010.5042350080248</v>
      </c>
      <c r="D40">
        <f>$H$3+SUM($E$6:E40)</f>
        <v>18037815.246028889</v>
      </c>
      <c r="E40">
        <f t="shared" si="1"/>
        <v>1506.7931227716388</v>
      </c>
      <c r="F40">
        <v>801.78</v>
      </c>
      <c r="G40">
        <v>705.01312277163879</v>
      </c>
    </row>
    <row r="41" spans="1:7" x14ac:dyDescent="0.55000000000000004">
      <c r="A41">
        <v>36</v>
      </c>
      <c r="B41" s="3">
        <v>43751.493055555555</v>
      </c>
      <c r="C41">
        <f t="shared" si="0"/>
        <v>5010.9234886532395</v>
      </c>
      <c r="D41">
        <f>$H$3+SUM($E$6:E41)</f>
        <v>18039324.559151661</v>
      </c>
      <c r="E41">
        <f t="shared" si="1"/>
        <v>1509.3131227716387</v>
      </c>
      <c r="F41">
        <v>804.3</v>
      </c>
      <c r="G41">
        <v>705.01312277163879</v>
      </c>
    </row>
    <row r="42" spans="1:7" x14ac:dyDescent="0.55000000000000004">
      <c r="A42">
        <v>37</v>
      </c>
      <c r="B42" s="3">
        <v>43751.5</v>
      </c>
      <c r="C42">
        <f t="shared" si="0"/>
        <v>5011.3429589651205</v>
      </c>
      <c r="D42">
        <f>$H$3+SUM($E$6:E42)</f>
        <v>18040834.652274434</v>
      </c>
      <c r="E42">
        <f t="shared" si="1"/>
        <v>1510.0931227716387</v>
      </c>
      <c r="F42">
        <v>805.07999999999993</v>
      </c>
      <c r="G42">
        <v>705.01312277163879</v>
      </c>
    </row>
    <row r="43" spans="1:7" x14ac:dyDescent="0.55000000000000004">
      <c r="A43">
        <v>38</v>
      </c>
      <c r="B43" s="3">
        <v>43751.506944444445</v>
      </c>
      <c r="C43">
        <f t="shared" si="0"/>
        <v>5011.7622126103352</v>
      </c>
      <c r="D43">
        <f>$H$3+SUM($E$6:E43)</f>
        <v>18042343.965397205</v>
      </c>
      <c r="E43">
        <f t="shared" si="1"/>
        <v>1509.3131227716387</v>
      </c>
      <c r="F43">
        <v>804.3</v>
      </c>
      <c r="G43">
        <v>705.01312277163879</v>
      </c>
    </row>
    <row r="44" spans="1:7" x14ac:dyDescent="0.55000000000000004">
      <c r="A44">
        <v>39</v>
      </c>
      <c r="B44" s="3">
        <v>43751.513888888891</v>
      </c>
      <c r="C44">
        <f t="shared" si="0"/>
        <v>5012.1807662555493</v>
      </c>
      <c r="D44">
        <f>$H$3+SUM($E$6:E44)</f>
        <v>18043850.758519977</v>
      </c>
      <c r="E44">
        <f t="shared" si="1"/>
        <v>1506.7931227716388</v>
      </c>
      <c r="F44">
        <v>801.78</v>
      </c>
      <c r="G44">
        <v>705.01312277163879</v>
      </c>
    </row>
    <row r="45" spans="1:7" x14ac:dyDescent="0.55000000000000004">
      <c r="A45">
        <v>40</v>
      </c>
      <c r="B45" s="3">
        <v>43751.520833333336</v>
      </c>
      <c r="C45">
        <f t="shared" si="0"/>
        <v>5012.5981532340966</v>
      </c>
      <c r="D45">
        <f>$H$3+SUM($E$6:E45)</f>
        <v>18045353.351642746</v>
      </c>
      <c r="E45">
        <f t="shared" si="1"/>
        <v>1502.5931227716387</v>
      </c>
      <c r="F45">
        <v>797.57999999999993</v>
      </c>
      <c r="G45">
        <v>705.01312277163879</v>
      </c>
    </row>
    <row r="46" spans="1:7" x14ac:dyDescent="0.55000000000000004">
      <c r="A46">
        <v>41</v>
      </c>
      <c r="B46" s="3">
        <v>43751.527777777781</v>
      </c>
      <c r="C46">
        <f t="shared" si="0"/>
        <v>5013.0139402126442</v>
      </c>
      <c r="D46">
        <f>$H$3+SUM($E$6:E46)</f>
        <v>18046850.184765518</v>
      </c>
      <c r="E46">
        <f t="shared" si="1"/>
        <v>1496.833122771639</v>
      </c>
      <c r="F46">
        <v>791.82</v>
      </c>
      <c r="G46">
        <v>705.01312277163879</v>
      </c>
    </row>
    <row r="47" spans="1:7" x14ac:dyDescent="0.55000000000000004">
      <c r="A47">
        <v>42</v>
      </c>
      <c r="B47" s="3">
        <v>43751.534722222219</v>
      </c>
      <c r="C47">
        <f t="shared" si="0"/>
        <v>5013.427643857859</v>
      </c>
      <c r="D47">
        <f>$H$3+SUM($E$6:E47)</f>
        <v>18048339.517888293</v>
      </c>
      <c r="E47">
        <f t="shared" si="1"/>
        <v>1489.333122771639</v>
      </c>
      <c r="F47">
        <v>784.32</v>
      </c>
      <c r="G47">
        <v>705.01312277163879</v>
      </c>
    </row>
    <row r="48" spans="1:7" x14ac:dyDescent="0.55000000000000004">
      <c r="A48">
        <v>43</v>
      </c>
      <c r="B48" s="3">
        <v>43751.541666666664</v>
      </c>
      <c r="C48">
        <f t="shared" si="0"/>
        <v>5013.8388308364056</v>
      </c>
      <c r="D48">
        <f>$H$3+SUM($E$6:E48)</f>
        <v>18049819.791011062</v>
      </c>
      <c r="E48">
        <f t="shared" si="1"/>
        <v>1480.2731227716386</v>
      </c>
      <c r="F48">
        <v>775.25999999999988</v>
      </c>
      <c r="G48">
        <v>705.01312277163879</v>
      </c>
    </row>
    <row r="49" spans="1:7" x14ac:dyDescent="0.55000000000000004">
      <c r="A49">
        <v>44</v>
      </c>
      <c r="B49" s="3">
        <v>43751.548611111109</v>
      </c>
      <c r="C49">
        <f t="shared" si="0"/>
        <v>5014.247051148287</v>
      </c>
      <c r="D49">
        <f>$H$3+SUM($E$6:E49)</f>
        <v>18051289.384133834</v>
      </c>
      <c r="E49">
        <f t="shared" si="1"/>
        <v>1469.5931227716387</v>
      </c>
      <c r="F49">
        <v>764.57999999999993</v>
      </c>
      <c r="G49">
        <v>705.01312277163879</v>
      </c>
    </row>
    <row r="50" spans="1:7" x14ac:dyDescent="0.55000000000000004">
      <c r="A50">
        <v>45</v>
      </c>
      <c r="B50" s="3">
        <v>43751.555555555555</v>
      </c>
      <c r="C50">
        <f t="shared" si="0"/>
        <v>5014.651854793502</v>
      </c>
      <c r="D50">
        <f>$H$3+SUM($E$6:E50)</f>
        <v>18052746.677256607</v>
      </c>
      <c r="E50">
        <f t="shared" si="1"/>
        <v>1457.2931227716388</v>
      </c>
      <c r="F50">
        <v>752.28</v>
      </c>
      <c r="G50">
        <v>705.01312277163879</v>
      </c>
    </row>
    <row r="51" spans="1:7" x14ac:dyDescent="0.55000000000000004">
      <c r="A51">
        <v>46</v>
      </c>
      <c r="B51" s="3">
        <v>43751.5625</v>
      </c>
      <c r="C51">
        <f t="shared" si="0"/>
        <v>5015.0528084387161</v>
      </c>
      <c r="D51">
        <f>$H$3+SUM($E$6:E51)</f>
        <v>18054190.110379379</v>
      </c>
      <c r="E51">
        <f t="shared" si="1"/>
        <v>1443.4331227716389</v>
      </c>
      <c r="F51">
        <v>738.42</v>
      </c>
      <c r="G51">
        <v>705.01312277163879</v>
      </c>
    </row>
    <row r="52" spans="1:7" x14ac:dyDescent="0.55000000000000004">
      <c r="A52">
        <v>47</v>
      </c>
      <c r="B52" s="3">
        <v>43751.569444444445</v>
      </c>
      <c r="C52">
        <f t="shared" si="0"/>
        <v>5015.4494954172633</v>
      </c>
      <c r="D52">
        <f>$H$3+SUM($E$6:E52)</f>
        <v>18055618.183502149</v>
      </c>
      <c r="E52">
        <f t="shared" si="1"/>
        <v>1428.0731227716387</v>
      </c>
      <c r="F52">
        <v>723.06</v>
      </c>
      <c r="G52">
        <v>705.01312277163879</v>
      </c>
    </row>
    <row r="53" spans="1:7" x14ac:dyDescent="0.55000000000000004">
      <c r="A53">
        <v>48</v>
      </c>
      <c r="B53" s="3">
        <v>43751.576388888891</v>
      </c>
      <c r="C53">
        <f t="shared" si="0"/>
        <v>5015.841482395811</v>
      </c>
      <c r="D53">
        <f>$H$3+SUM($E$6:E53)</f>
        <v>18057029.33662492</v>
      </c>
      <c r="E53">
        <f t="shared" si="1"/>
        <v>1411.1531227716387</v>
      </c>
      <c r="F53">
        <v>706.14</v>
      </c>
      <c r="G53">
        <v>705.01312277163879</v>
      </c>
    </row>
    <row r="54" spans="1:7" x14ac:dyDescent="0.55000000000000004">
      <c r="A54">
        <v>49</v>
      </c>
      <c r="B54" s="3">
        <v>43751.583333333336</v>
      </c>
      <c r="C54">
        <f t="shared" si="0"/>
        <v>5016.2283860410253</v>
      </c>
      <c r="D54">
        <f>$H$3+SUM($E$6:E54)</f>
        <v>18058422.189747691</v>
      </c>
      <c r="E54">
        <f t="shared" si="1"/>
        <v>1392.8531227716389</v>
      </c>
      <c r="F54">
        <v>687.84</v>
      </c>
      <c r="G54">
        <v>705.01312277163879</v>
      </c>
    </row>
    <row r="55" spans="1:7" x14ac:dyDescent="0.55000000000000004">
      <c r="A55">
        <v>50</v>
      </c>
      <c r="B55" s="3">
        <v>43751.590277777781</v>
      </c>
      <c r="C55">
        <f t="shared" si="0"/>
        <v>5016.6097896862402</v>
      </c>
      <c r="D55">
        <f>$H$3+SUM($E$6:E55)</f>
        <v>18059795.242870465</v>
      </c>
      <c r="E55">
        <f t="shared" si="1"/>
        <v>1373.0531227716388</v>
      </c>
      <c r="F55">
        <v>668.04000000000008</v>
      </c>
      <c r="G55">
        <v>705.01312277163879</v>
      </c>
    </row>
    <row r="56" spans="1:7" x14ac:dyDescent="0.55000000000000004">
      <c r="A56">
        <v>51</v>
      </c>
      <c r="B56" s="3">
        <v>43751.597222222219</v>
      </c>
      <c r="C56">
        <f t="shared" si="0"/>
        <v>5016.9349177301265</v>
      </c>
      <c r="D56">
        <f>$H$3+SUM($E$6:E56)</f>
        <v>18060965.703828454</v>
      </c>
      <c r="E56">
        <f t="shared" si="1"/>
        <v>1170.4609579884186</v>
      </c>
      <c r="F56">
        <v>646.8599999999999</v>
      </c>
      <c r="G56">
        <v>523.6009579884186</v>
      </c>
    </row>
    <row r="57" spans="1:7" x14ac:dyDescent="0.55000000000000004">
      <c r="A57">
        <v>52</v>
      </c>
      <c r="B57" s="3">
        <v>43751.604166666664</v>
      </c>
      <c r="C57">
        <f t="shared" si="0"/>
        <v>5017.2537957740105</v>
      </c>
      <c r="D57">
        <f>$H$3+SUM($E$6:E57)</f>
        <v>18062113.664786439</v>
      </c>
      <c r="E57">
        <f t="shared" si="1"/>
        <v>1147.9609579884186</v>
      </c>
      <c r="F57">
        <v>624.3599999999999</v>
      </c>
      <c r="G57">
        <v>523.6009579884186</v>
      </c>
    </row>
    <row r="58" spans="1:7" x14ac:dyDescent="0.55000000000000004">
      <c r="A58">
        <v>53</v>
      </c>
      <c r="B58" s="3">
        <v>43751.611111111109</v>
      </c>
      <c r="C58">
        <f t="shared" si="0"/>
        <v>5017.5660571512299</v>
      </c>
      <c r="D58">
        <f>$H$3+SUM($E$6:E58)</f>
        <v>18063237.805744428</v>
      </c>
      <c r="E58">
        <f t="shared" si="1"/>
        <v>1124.1409579884184</v>
      </c>
      <c r="F58">
        <v>600.54</v>
      </c>
      <c r="G58">
        <v>523.6009579884186</v>
      </c>
    </row>
    <row r="59" spans="1:7" x14ac:dyDescent="0.55000000000000004">
      <c r="A59">
        <v>54</v>
      </c>
      <c r="B59" s="3">
        <v>43751.618055555555</v>
      </c>
      <c r="C59">
        <f t="shared" si="0"/>
        <v>5017.8713518617833</v>
      </c>
      <c r="D59">
        <f>$H$3+SUM($E$6:E59)</f>
        <v>18064336.866702419</v>
      </c>
      <c r="E59">
        <f t="shared" si="1"/>
        <v>1099.0609579884185</v>
      </c>
      <c r="F59">
        <v>575.46</v>
      </c>
      <c r="G59">
        <v>523.6009579884186</v>
      </c>
    </row>
    <row r="60" spans="1:7" x14ac:dyDescent="0.55000000000000004">
      <c r="A60">
        <v>55</v>
      </c>
      <c r="B60" s="3">
        <v>43751.625</v>
      </c>
      <c r="C60">
        <f t="shared" si="0"/>
        <v>5018.1693632390015</v>
      </c>
      <c r="D60">
        <f>$H$3+SUM($E$6:E60)</f>
        <v>18065409.707660407</v>
      </c>
      <c r="E60">
        <f t="shared" si="1"/>
        <v>1072.8409579884187</v>
      </c>
      <c r="F60">
        <v>549.24</v>
      </c>
      <c r="G60">
        <v>523.6009579884186</v>
      </c>
    </row>
    <row r="61" spans="1:7" x14ac:dyDescent="0.55000000000000004">
      <c r="A61">
        <v>56</v>
      </c>
      <c r="B61" s="3">
        <v>43751.631944444445</v>
      </c>
      <c r="C61">
        <f t="shared" si="0"/>
        <v>5018.4597746162208</v>
      </c>
      <c r="D61">
        <f>$H$3+SUM($E$6:E61)</f>
        <v>18066455.188618395</v>
      </c>
      <c r="E61">
        <f t="shared" si="1"/>
        <v>1045.4809579884186</v>
      </c>
      <c r="F61">
        <v>521.88</v>
      </c>
      <c r="G61">
        <v>523.6009579884186</v>
      </c>
    </row>
    <row r="62" spans="1:7" x14ac:dyDescent="0.55000000000000004">
      <c r="A62">
        <v>57</v>
      </c>
      <c r="B62" s="3">
        <v>43751.638888888891</v>
      </c>
      <c r="C62">
        <f t="shared" si="0"/>
        <v>5018.7422859934395</v>
      </c>
      <c r="D62">
        <f>$H$3+SUM($E$6:E62)</f>
        <v>18067472.229576383</v>
      </c>
      <c r="E62">
        <f t="shared" si="1"/>
        <v>1017.0409579884185</v>
      </c>
      <c r="F62">
        <v>493.43999999999994</v>
      </c>
      <c r="G62">
        <v>523.6009579884186</v>
      </c>
    </row>
    <row r="63" spans="1:7" x14ac:dyDescent="0.55000000000000004">
      <c r="A63">
        <v>58</v>
      </c>
      <c r="B63" s="3">
        <v>43751.645833333336</v>
      </c>
      <c r="C63">
        <f t="shared" si="0"/>
        <v>5019.0166307039917</v>
      </c>
      <c r="D63">
        <f>$H$3+SUM($E$6:E63)</f>
        <v>18068459.870534372</v>
      </c>
      <c r="E63">
        <f t="shared" si="1"/>
        <v>987.64095798841856</v>
      </c>
      <c r="F63">
        <v>464.03999999999996</v>
      </c>
      <c r="G63">
        <v>523.6009579884186</v>
      </c>
    </row>
    <row r="64" spans="1:7" x14ac:dyDescent="0.55000000000000004">
      <c r="A64">
        <v>59</v>
      </c>
      <c r="B64" s="3">
        <v>43751.652777777781</v>
      </c>
      <c r="C64">
        <f t="shared" si="0"/>
        <v>5019.2825420812114</v>
      </c>
      <c r="D64">
        <f>$H$3+SUM($E$6:E64)</f>
        <v>18069417.151492361</v>
      </c>
      <c r="E64">
        <f t="shared" si="1"/>
        <v>957.28095798841855</v>
      </c>
      <c r="F64">
        <v>433.67999999999995</v>
      </c>
      <c r="G64">
        <v>523.6009579884186</v>
      </c>
    </row>
    <row r="65" spans="1:7" x14ac:dyDescent="0.55000000000000004">
      <c r="A65">
        <v>60</v>
      </c>
      <c r="B65" s="3">
        <v>43751.659722222219</v>
      </c>
      <c r="C65">
        <f t="shared" si="0"/>
        <v>5019.5397867917636</v>
      </c>
      <c r="D65">
        <f>$H$3+SUM($E$6:E65)</f>
        <v>18070343.232450347</v>
      </c>
      <c r="E65">
        <f t="shared" si="1"/>
        <v>926.0809579884185</v>
      </c>
      <c r="F65">
        <v>402.47999999999996</v>
      </c>
      <c r="G65">
        <v>523.6009579884186</v>
      </c>
    </row>
    <row r="66" spans="1:7" x14ac:dyDescent="0.55000000000000004">
      <c r="A66">
        <v>61</v>
      </c>
      <c r="B66" s="3">
        <v>43751.666666666664</v>
      </c>
      <c r="C66">
        <f t="shared" si="0"/>
        <v>5019.7881481689828</v>
      </c>
      <c r="D66">
        <f>$H$3+SUM($E$6:E66)</f>
        <v>18071237.333408337</v>
      </c>
      <c r="E66">
        <f t="shared" si="1"/>
        <v>894.1009579884186</v>
      </c>
      <c r="F66">
        <v>370.5</v>
      </c>
      <c r="G66">
        <v>523.6009579884186</v>
      </c>
    </row>
    <row r="67" spans="1:7" x14ac:dyDescent="0.55000000000000004">
      <c r="A67">
        <v>62</v>
      </c>
      <c r="B67" s="3">
        <v>43751.673611111109</v>
      </c>
      <c r="C67">
        <f t="shared" si="0"/>
        <v>5020.0274595462015</v>
      </c>
      <c r="D67">
        <f>$H$3+SUM($E$6:E67)</f>
        <v>18072098.854366325</v>
      </c>
      <c r="E67">
        <f t="shared" si="1"/>
        <v>861.52095798841856</v>
      </c>
      <c r="F67">
        <v>337.92</v>
      </c>
      <c r="G67">
        <v>523.6009579884186</v>
      </c>
    </row>
    <row r="68" spans="1:7" x14ac:dyDescent="0.55000000000000004">
      <c r="A68">
        <v>63</v>
      </c>
      <c r="B68" s="3">
        <v>43751.680555555555</v>
      </c>
      <c r="C68">
        <f t="shared" si="0"/>
        <v>5020.2575542567538</v>
      </c>
      <c r="D68">
        <f>$H$3+SUM($E$6:E68)</f>
        <v>18072927.195324313</v>
      </c>
      <c r="E68">
        <f t="shared" si="1"/>
        <v>828.3409579884185</v>
      </c>
      <c r="F68">
        <v>304.73999999999995</v>
      </c>
      <c r="G68">
        <v>523.6009579884186</v>
      </c>
    </row>
    <row r="69" spans="1:7" x14ac:dyDescent="0.55000000000000004">
      <c r="A69">
        <v>64</v>
      </c>
      <c r="B69" s="3">
        <v>43751.6875</v>
      </c>
      <c r="C69">
        <f t="shared" si="0"/>
        <v>5020.4783323006395</v>
      </c>
      <c r="D69">
        <f>$H$3+SUM($E$6:E69)</f>
        <v>18073721.996282302</v>
      </c>
      <c r="E69">
        <f t="shared" si="1"/>
        <v>794.80095798841853</v>
      </c>
      <c r="F69">
        <v>271.2</v>
      </c>
      <c r="G69">
        <v>523.6009579884186</v>
      </c>
    </row>
    <row r="70" spans="1:7" x14ac:dyDescent="0.55000000000000004">
      <c r="A70">
        <v>65</v>
      </c>
      <c r="B70" s="3">
        <v>43751.694444444445</v>
      </c>
      <c r="C70">
        <f t="shared" si="0"/>
        <v>5020.6896936778576</v>
      </c>
      <c r="D70">
        <f>$H$3+SUM($E$6:E70)</f>
        <v>18074482.897240289</v>
      </c>
      <c r="E70">
        <f t="shared" si="1"/>
        <v>760.90095798841855</v>
      </c>
      <c r="F70">
        <v>237.29999999999998</v>
      </c>
      <c r="G70">
        <v>523.6009579884186</v>
      </c>
    </row>
    <row r="71" spans="1:7" x14ac:dyDescent="0.55000000000000004">
      <c r="A71">
        <v>66</v>
      </c>
      <c r="B71" s="3">
        <v>43751.701388888891</v>
      </c>
      <c r="C71">
        <f t="shared" ref="C71:C84" si="2">D71/3600</f>
        <v>5020.8916383884116</v>
      </c>
      <c r="D71">
        <f>$H$3+SUM($E$6:E71)</f>
        <v>18075209.89819828</v>
      </c>
      <c r="E71">
        <f t="shared" ref="E71:E84" si="3">F71+G71</f>
        <v>727.00095798841858</v>
      </c>
      <c r="F71">
        <v>203.4</v>
      </c>
      <c r="G71">
        <v>523.6009579884186</v>
      </c>
    </row>
    <row r="72" spans="1:7" x14ac:dyDescent="0.55000000000000004">
      <c r="A72">
        <v>67</v>
      </c>
      <c r="B72" s="3">
        <v>43751.708333333336</v>
      </c>
      <c r="C72">
        <f t="shared" si="2"/>
        <v>5021.0841997656298</v>
      </c>
      <c r="D72">
        <f>$H$3+SUM($E$6:E72)</f>
        <v>18075903.119156267</v>
      </c>
      <c r="E72">
        <f t="shared" si="3"/>
        <v>693.2209579884186</v>
      </c>
      <c r="F72">
        <v>169.61999999999998</v>
      </c>
      <c r="G72">
        <v>523.6009579884186</v>
      </c>
    </row>
    <row r="73" spans="1:7" x14ac:dyDescent="0.55000000000000004">
      <c r="A73">
        <v>68</v>
      </c>
      <c r="B73" s="3">
        <v>43751.715277777781</v>
      </c>
      <c r="C73">
        <f t="shared" si="2"/>
        <v>5021.1220497656295</v>
      </c>
      <c r="D73">
        <f>$H$3+SUM($E$6:E73)</f>
        <v>18076039.379156265</v>
      </c>
      <c r="E73">
        <f t="shared" si="3"/>
        <v>136.26</v>
      </c>
      <c r="F73">
        <v>136.26</v>
      </c>
      <c r="G73">
        <v>0</v>
      </c>
    </row>
    <row r="74" spans="1:7" x14ac:dyDescent="0.55000000000000004">
      <c r="A74">
        <v>69</v>
      </c>
      <c r="B74" s="3">
        <v>43751.722222222219</v>
      </c>
      <c r="C74">
        <f t="shared" si="2"/>
        <v>5021.1509164322961</v>
      </c>
      <c r="D74">
        <f>$H$3+SUM($E$6:E74)</f>
        <v>18076143.299156267</v>
      </c>
      <c r="E74">
        <f t="shared" si="3"/>
        <v>103.91999999999999</v>
      </c>
      <c r="F74">
        <v>103.91999999999999</v>
      </c>
      <c r="G74">
        <v>0</v>
      </c>
    </row>
    <row r="75" spans="1:7" x14ac:dyDescent="0.55000000000000004">
      <c r="A75">
        <v>70</v>
      </c>
      <c r="B75" s="3">
        <v>43751.729166666664</v>
      </c>
      <c r="C75">
        <f t="shared" si="2"/>
        <v>5021.1712330989631</v>
      </c>
      <c r="D75">
        <f>$H$3+SUM($E$6:E75)</f>
        <v>18076216.439156268</v>
      </c>
      <c r="E75">
        <f t="shared" si="3"/>
        <v>73.14</v>
      </c>
      <c r="F75">
        <v>73.14</v>
      </c>
      <c r="G75">
        <v>0</v>
      </c>
    </row>
    <row r="76" spans="1:7" x14ac:dyDescent="0.55000000000000004">
      <c r="A76">
        <v>71</v>
      </c>
      <c r="B76" s="3">
        <v>43751.736111111109</v>
      </c>
      <c r="C76">
        <f t="shared" si="2"/>
        <v>5021.1837497656297</v>
      </c>
      <c r="D76">
        <f>$H$3+SUM($E$6:E76)</f>
        <v>18076261.499156266</v>
      </c>
      <c r="E76">
        <f t="shared" si="3"/>
        <v>45.059999999999995</v>
      </c>
      <c r="F76">
        <v>45.059999999999995</v>
      </c>
      <c r="G76">
        <v>0</v>
      </c>
    </row>
    <row r="77" spans="1:7" x14ac:dyDescent="0.55000000000000004">
      <c r="A77">
        <v>72</v>
      </c>
      <c r="B77" s="3">
        <v>43751.743055555555</v>
      </c>
      <c r="C77">
        <f t="shared" si="2"/>
        <v>5021.18974976563</v>
      </c>
      <c r="D77">
        <f>$H$3+SUM($E$6:E77)</f>
        <v>18076283.099156268</v>
      </c>
      <c r="E77">
        <f t="shared" si="3"/>
        <v>21.599999999999998</v>
      </c>
      <c r="F77">
        <v>21.599999999999998</v>
      </c>
      <c r="G77">
        <v>0</v>
      </c>
    </row>
    <row r="78" spans="1:7" x14ac:dyDescent="0.55000000000000004">
      <c r="A78">
        <v>73</v>
      </c>
      <c r="B78" s="3">
        <v>43751.75</v>
      </c>
      <c r="C78">
        <f t="shared" si="2"/>
        <v>5021.1913830989633</v>
      </c>
      <c r="D78">
        <f>$H$3+SUM($E$6:E78)</f>
        <v>18076288.979156267</v>
      </c>
      <c r="E78">
        <f t="shared" si="3"/>
        <v>5.88</v>
      </c>
      <c r="F78">
        <v>5.88</v>
      </c>
      <c r="G78">
        <v>0</v>
      </c>
    </row>
  </sheetData>
  <mergeCells count="1">
    <mergeCell ref="F3:G3"/>
  </mergeCells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0B4684-BC31-4F43-B4E8-DA964FEEB7D2}">
  <sheetPr codeName="Sheet6"/>
  <dimension ref="A1:H78"/>
  <sheetViews>
    <sheetView zoomScale="70" zoomScaleNormal="70" workbookViewId="0">
      <selection activeCell="F87" sqref="F87"/>
    </sheetView>
  </sheetViews>
  <sheetFormatPr defaultRowHeight="18" x14ac:dyDescent="0.55000000000000004"/>
  <cols>
    <col min="2" max="2" width="15.6640625" customWidth="1"/>
    <col min="3" max="3" width="16.9140625" customWidth="1"/>
    <col min="4" max="4" width="16.33203125" customWidth="1"/>
    <col min="6" max="6" width="11.1640625" customWidth="1"/>
    <col min="8" max="8" width="12.33203125" bestFit="1" customWidth="1"/>
  </cols>
  <sheetData>
    <row r="1" spans="1:8" x14ac:dyDescent="0.55000000000000004">
      <c r="A1" t="s">
        <v>1</v>
      </c>
    </row>
    <row r="2" spans="1:8" x14ac:dyDescent="0.55000000000000004">
      <c r="A2" s="2" t="s">
        <v>2</v>
      </c>
      <c r="B2" s="1" t="s">
        <v>3</v>
      </c>
      <c r="C2" s="2" t="s">
        <v>2</v>
      </c>
      <c r="D2" s="1" t="s">
        <v>4</v>
      </c>
      <c r="F2" s="5" t="s">
        <v>15</v>
      </c>
      <c r="G2" s="4" t="s">
        <v>9</v>
      </c>
      <c r="H2" s="1" t="s">
        <v>9</v>
      </c>
    </row>
    <row r="3" spans="1:8" x14ac:dyDescent="0.55000000000000004">
      <c r="A3" s="1" t="s">
        <v>5</v>
      </c>
      <c r="B3" s="1" t="s">
        <v>0</v>
      </c>
      <c r="C3" s="1" t="s">
        <v>5</v>
      </c>
      <c r="D3" s="1" t="s">
        <v>0</v>
      </c>
      <c r="F3" s="11" t="s">
        <v>17</v>
      </c>
      <c r="G3" s="11"/>
      <c r="H3">
        <f>Main_Day3!D78</f>
        <v>18076288.979156267</v>
      </c>
    </row>
    <row r="4" spans="1:8" x14ac:dyDescent="0.55000000000000004">
      <c r="A4" s="1"/>
      <c r="B4" s="1"/>
      <c r="C4" s="1"/>
      <c r="D4" s="1"/>
    </row>
    <row r="5" spans="1:8" x14ac:dyDescent="0.55000000000000004">
      <c r="A5" t="s">
        <v>7</v>
      </c>
      <c r="B5" s="3" t="s">
        <v>8</v>
      </c>
      <c r="C5" t="s">
        <v>16</v>
      </c>
      <c r="D5" t="s">
        <v>11</v>
      </c>
      <c r="E5" t="s">
        <v>12</v>
      </c>
      <c r="F5" t="s">
        <v>13</v>
      </c>
      <c r="G5" t="s">
        <v>14</v>
      </c>
    </row>
    <row r="6" spans="1:8" x14ac:dyDescent="0.55000000000000004">
      <c r="A6">
        <v>1</v>
      </c>
      <c r="B6" s="3">
        <v>43751.25</v>
      </c>
      <c r="C6">
        <f>D6/3600</f>
        <v>5021.1930164322957</v>
      </c>
      <c r="D6">
        <f>$H$3+SUM($E$6:E6)</f>
        <v>18076294.859156266</v>
      </c>
      <c r="E6">
        <f>F6+G6</f>
        <v>5.88</v>
      </c>
      <c r="F6">
        <v>5.88</v>
      </c>
      <c r="G6">
        <v>0</v>
      </c>
    </row>
    <row r="7" spans="1:8" x14ac:dyDescent="0.55000000000000004">
      <c r="A7">
        <v>2</v>
      </c>
      <c r="B7" s="3">
        <v>43751.256944444445</v>
      </c>
      <c r="C7">
        <f t="shared" ref="C7:C70" si="0">D7/3600</f>
        <v>5021.199016432296</v>
      </c>
      <c r="D7">
        <f>$H$3+SUM($E$6:E7)</f>
        <v>18076316.459156267</v>
      </c>
      <c r="E7">
        <f t="shared" ref="E7:E70" si="1">F7+G7</f>
        <v>21.599999999999998</v>
      </c>
      <c r="F7">
        <v>21.599999999999998</v>
      </c>
      <c r="G7">
        <v>0</v>
      </c>
    </row>
    <row r="8" spans="1:8" x14ac:dyDescent="0.55000000000000004">
      <c r="A8">
        <v>3</v>
      </c>
      <c r="B8" s="3">
        <v>43751.263888888891</v>
      </c>
      <c r="C8">
        <f>D8/3600</f>
        <v>5021.2115330989627</v>
      </c>
      <c r="D8">
        <f>$H$3+SUM($E$6:E8)</f>
        <v>18076361.519156266</v>
      </c>
      <c r="E8">
        <f>F8+G8</f>
        <v>45.059999999999995</v>
      </c>
      <c r="F8">
        <v>45.059999999999995</v>
      </c>
      <c r="G8">
        <v>0</v>
      </c>
    </row>
    <row r="9" spans="1:8" x14ac:dyDescent="0.55000000000000004">
      <c r="A9">
        <v>4</v>
      </c>
      <c r="B9" s="3">
        <v>43751.270833333336</v>
      </c>
      <c r="C9">
        <f t="shared" si="0"/>
        <v>5021.2318330989638</v>
      </c>
      <c r="D9">
        <f>$H$3+SUM($E$6:E9)</f>
        <v>18076434.599156268</v>
      </c>
      <c r="E9">
        <f t="shared" si="1"/>
        <v>73.08</v>
      </c>
      <c r="F9">
        <v>73.08</v>
      </c>
      <c r="G9">
        <v>0</v>
      </c>
    </row>
    <row r="10" spans="1:8" x14ac:dyDescent="0.55000000000000004">
      <c r="A10">
        <v>5</v>
      </c>
      <c r="B10" s="3">
        <v>43751.277777777781</v>
      </c>
      <c r="C10">
        <f t="shared" si="0"/>
        <v>5021.2606830989635</v>
      </c>
      <c r="D10">
        <f>$H$3+SUM($E$6:E10)</f>
        <v>18076538.459156267</v>
      </c>
      <c r="E10">
        <f t="shared" si="1"/>
        <v>103.86</v>
      </c>
      <c r="F10">
        <v>103.86</v>
      </c>
      <c r="G10">
        <v>0</v>
      </c>
    </row>
    <row r="11" spans="1:8" x14ac:dyDescent="0.55000000000000004">
      <c r="A11">
        <v>6</v>
      </c>
      <c r="B11" s="3">
        <v>43751.284722222219</v>
      </c>
      <c r="C11">
        <f t="shared" si="0"/>
        <v>5021.2985330989623</v>
      </c>
      <c r="D11">
        <f>$H$3+SUM($E$6:E11)</f>
        <v>18076674.719156265</v>
      </c>
      <c r="E11">
        <f t="shared" si="1"/>
        <v>136.26</v>
      </c>
      <c r="F11">
        <v>136.26</v>
      </c>
      <c r="G11">
        <v>0</v>
      </c>
    </row>
    <row r="12" spans="1:8" x14ac:dyDescent="0.55000000000000004">
      <c r="A12">
        <v>7</v>
      </c>
      <c r="B12" s="3">
        <v>43751.291666666664</v>
      </c>
      <c r="C12">
        <f t="shared" si="0"/>
        <v>5021.3456330989629</v>
      </c>
      <c r="D12">
        <f>$H$3+SUM($E$6:E12)</f>
        <v>18076844.279156268</v>
      </c>
      <c r="E12">
        <f t="shared" si="1"/>
        <v>169.56</v>
      </c>
      <c r="F12">
        <v>169.56</v>
      </c>
      <c r="G12">
        <v>0</v>
      </c>
    </row>
    <row r="13" spans="1:8" x14ac:dyDescent="0.55000000000000004">
      <c r="A13">
        <v>8</v>
      </c>
      <c r="B13" s="3">
        <v>43751.298611111109</v>
      </c>
      <c r="C13">
        <f t="shared" si="0"/>
        <v>5021.4021164322967</v>
      </c>
      <c r="D13">
        <f>$H$3+SUM($E$6:E13)</f>
        <v>18077047.619156267</v>
      </c>
      <c r="E13">
        <f t="shared" si="1"/>
        <v>203.33999999999997</v>
      </c>
      <c r="F13">
        <v>203.33999999999997</v>
      </c>
      <c r="G13">
        <v>0</v>
      </c>
    </row>
    <row r="14" spans="1:8" x14ac:dyDescent="0.55000000000000004">
      <c r="A14">
        <v>9</v>
      </c>
      <c r="B14" s="3">
        <v>43751.305555555555</v>
      </c>
      <c r="C14">
        <f t="shared" si="0"/>
        <v>5021.4680330989631</v>
      </c>
      <c r="D14">
        <f>$H$3+SUM($E$6:E14)</f>
        <v>18077284.919156268</v>
      </c>
      <c r="E14">
        <f t="shared" si="1"/>
        <v>237.29999999999998</v>
      </c>
      <c r="F14">
        <v>237.29999999999998</v>
      </c>
      <c r="G14">
        <v>0</v>
      </c>
    </row>
    <row r="15" spans="1:8" x14ac:dyDescent="0.55000000000000004">
      <c r="A15">
        <v>10</v>
      </c>
      <c r="B15" s="3">
        <v>43751.3125</v>
      </c>
      <c r="C15">
        <f t="shared" si="0"/>
        <v>5021.5433497656295</v>
      </c>
      <c r="D15">
        <f>$H$3+SUM($E$6:E15)</f>
        <v>18077556.059156265</v>
      </c>
      <c r="E15">
        <f t="shared" si="1"/>
        <v>271.14</v>
      </c>
      <c r="F15">
        <v>271.14</v>
      </c>
      <c r="G15">
        <v>0</v>
      </c>
    </row>
    <row r="16" spans="1:8" x14ac:dyDescent="0.55000000000000004">
      <c r="A16">
        <v>11</v>
      </c>
      <c r="B16" s="3">
        <v>43751.319444444445</v>
      </c>
      <c r="C16">
        <f t="shared" si="0"/>
        <v>5021.6279997656302</v>
      </c>
      <c r="D16">
        <f>$H$3+SUM($E$6:E16)</f>
        <v>18077860.799156267</v>
      </c>
      <c r="E16">
        <f t="shared" si="1"/>
        <v>304.73999999999995</v>
      </c>
      <c r="F16">
        <v>304.73999999999995</v>
      </c>
      <c r="G16">
        <v>0</v>
      </c>
    </row>
    <row r="17" spans="1:7" x14ac:dyDescent="0.55000000000000004">
      <c r="A17">
        <v>12</v>
      </c>
      <c r="B17" s="3">
        <v>43751.326388888891</v>
      </c>
      <c r="C17">
        <f t="shared" si="0"/>
        <v>5021.7218497656295</v>
      </c>
      <c r="D17">
        <f>$H$3+SUM($E$6:E17)</f>
        <v>18078198.659156267</v>
      </c>
      <c r="E17">
        <f t="shared" si="1"/>
        <v>337.86</v>
      </c>
      <c r="F17">
        <v>337.86</v>
      </c>
      <c r="G17">
        <v>0</v>
      </c>
    </row>
    <row r="18" spans="1:7" x14ac:dyDescent="0.55000000000000004">
      <c r="A18">
        <v>13</v>
      </c>
      <c r="B18" s="3">
        <v>43751.333333333336</v>
      </c>
      <c r="C18">
        <f t="shared" si="0"/>
        <v>5022.0206034108442</v>
      </c>
      <c r="D18">
        <f>$H$3+SUM($E$6:E18)</f>
        <v>18079274.172279038</v>
      </c>
      <c r="E18">
        <f t="shared" si="1"/>
        <v>1075.5131227716388</v>
      </c>
      <c r="F18">
        <v>370.5</v>
      </c>
      <c r="G18">
        <v>705.01312277163879</v>
      </c>
    </row>
    <row r="19" spans="1:7" x14ac:dyDescent="0.55000000000000004">
      <c r="A19">
        <v>14</v>
      </c>
      <c r="B19" s="3">
        <v>43751.340277777781</v>
      </c>
      <c r="C19">
        <f t="shared" si="0"/>
        <v>5022.3282237227249</v>
      </c>
      <c r="D19">
        <f>$H$3+SUM($E$6:E19)</f>
        <v>18080381.60540181</v>
      </c>
      <c r="E19">
        <f t="shared" si="1"/>
        <v>1107.4331227716389</v>
      </c>
      <c r="F19">
        <v>402.42</v>
      </c>
      <c r="G19">
        <v>705.01312277163879</v>
      </c>
    </row>
    <row r="20" spans="1:7" x14ac:dyDescent="0.55000000000000004">
      <c r="A20">
        <v>15</v>
      </c>
      <c r="B20" s="3">
        <v>43751.347222222219</v>
      </c>
      <c r="C20">
        <f t="shared" si="0"/>
        <v>5022.6445107012732</v>
      </c>
      <c r="D20">
        <f>$H$3+SUM($E$6:E20)</f>
        <v>18081520.238524582</v>
      </c>
      <c r="E20">
        <f t="shared" si="1"/>
        <v>1138.6331227716387</v>
      </c>
      <c r="F20">
        <v>433.62</v>
      </c>
      <c r="G20">
        <v>705.01312277163879</v>
      </c>
    </row>
    <row r="21" spans="1:7" x14ac:dyDescent="0.55000000000000004">
      <c r="A21">
        <v>16</v>
      </c>
      <c r="B21" s="3">
        <v>43751.354166666664</v>
      </c>
      <c r="C21">
        <f t="shared" si="0"/>
        <v>5022.9692310131541</v>
      </c>
      <c r="D21">
        <f>$H$3+SUM($E$6:E21)</f>
        <v>18082689.231647354</v>
      </c>
      <c r="E21">
        <f t="shared" si="1"/>
        <v>1168.9931227716388</v>
      </c>
      <c r="F21">
        <v>463.97999999999996</v>
      </c>
      <c r="G21">
        <v>705.01312277163879</v>
      </c>
    </row>
    <row r="22" spans="1:7" x14ac:dyDescent="0.55000000000000004">
      <c r="A22">
        <v>17</v>
      </c>
      <c r="B22" s="3">
        <v>43751.361111111109</v>
      </c>
      <c r="C22">
        <f t="shared" si="0"/>
        <v>5023.3021346583682</v>
      </c>
      <c r="D22">
        <f>$H$3+SUM($E$6:E22)</f>
        <v>18083887.684770126</v>
      </c>
      <c r="E22">
        <f t="shared" si="1"/>
        <v>1198.4531227716388</v>
      </c>
      <c r="F22">
        <v>493.43999999999994</v>
      </c>
      <c r="G22">
        <v>705.01312277163879</v>
      </c>
    </row>
    <row r="23" spans="1:7" x14ac:dyDescent="0.55000000000000004">
      <c r="A23">
        <v>18</v>
      </c>
      <c r="B23" s="3">
        <v>43751.368055555555</v>
      </c>
      <c r="C23">
        <f t="shared" si="0"/>
        <v>5023.642938303582</v>
      </c>
      <c r="D23">
        <f>$H$3+SUM($E$6:E23)</f>
        <v>18085114.577892896</v>
      </c>
      <c r="E23">
        <f t="shared" si="1"/>
        <v>1226.8931227716389</v>
      </c>
      <c r="F23">
        <v>521.88</v>
      </c>
      <c r="G23">
        <v>705.01312277163879</v>
      </c>
    </row>
    <row r="24" spans="1:7" x14ac:dyDescent="0.55000000000000004">
      <c r="A24">
        <v>19</v>
      </c>
      <c r="B24" s="3">
        <v>43751.375</v>
      </c>
      <c r="C24">
        <f t="shared" si="0"/>
        <v>5023.9913419487966</v>
      </c>
      <c r="D24">
        <f>$H$3+SUM($E$6:E24)</f>
        <v>18086368.831015669</v>
      </c>
      <c r="E24">
        <f t="shared" si="1"/>
        <v>1254.2531227716388</v>
      </c>
      <c r="F24">
        <v>549.24</v>
      </c>
      <c r="G24">
        <v>705.01312277163879</v>
      </c>
    </row>
    <row r="25" spans="1:7" x14ac:dyDescent="0.55000000000000004">
      <c r="A25">
        <v>20</v>
      </c>
      <c r="B25" s="3">
        <v>43751.381944444445</v>
      </c>
      <c r="C25">
        <f t="shared" si="0"/>
        <v>5024.3470289273446</v>
      </c>
      <c r="D25">
        <f>$H$3+SUM($E$6:E25)</f>
        <v>18087649.304138441</v>
      </c>
      <c r="E25">
        <f t="shared" si="1"/>
        <v>1280.4731227716388</v>
      </c>
      <c r="F25">
        <v>575.46</v>
      </c>
      <c r="G25">
        <v>705.01312277163879</v>
      </c>
    </row>
    <row r="26" spans="1:7" x14ac:dyDescent="0.55000000000000004">
      <c r="A26">
        <v>21</v>
      </c>
      <c r="B26" s="3">
        <v>43751.388888888891</v>
      </c>
      <c r="C26">
        <f t="shared" si="0"/>
        <v>5024.7096825725584</v>
      </c>
      <c r="D26">
        <f>$H$3+SUM($E$6:E26)</f>
        <v>18088954.857261211</v>
      </c>
      <c r="E26">
        <f t="shared" si="1"/>
        <v>1305.5531227716388</v>
      </c>
      <c r="F26">
        <v>600.54</v>
      </c>
      <c r="G26">
        <v>705.01312277163879</v>
      </c>
    </row>
    <row r="27" spans="1:7" x14ac:dyDescent="0.55000000000000004">
      <c r="A27">
        <v>22</v>
      </c>
      <c r="B27" s="3">
        <v>43751.395833333336</v>
      </c>
      <c r="C27">
        <f t="shared" si="0"/>
        <v>5025.0789362177729</v>
      </c>
      <c r="D27">
        <f>$H$3+SUM($E$6:E27)</f>
        <v>18090284.170383982</v>
      </c>
      <c r="E27">
        <f t="shared" si="1"/>
        <v>1329.3131227716387</v>
      </c>
      <c r="F27">
        <v>624.29999999999995</v>
      </c>
      <c r="G27">
        <v>705.01312277163879</v>
      </c>
    </row>
    <row r="28" spans="1:7" x14ac:dyDescent="0.55000000000000004">
      <c r="A28">
        <v>23</v>
      </c>
      <c r="B28" s="3">
        <v>43751.402777777781</v>
      </c>
      <c r="C28">
        <f t="shared" si="0"/>
        <v>5025.4544565296546</v>
      </c>
      <c r="D28">
        <f>$H$3+SUM($E$6:E28)</f>
        <v>18091636.043506756</v>
      </c>
      <c r="E28">
        <f t="shared" si="1"/>
        <v>1351.8731227716387</v>
      </c>
      <c r="F28">
        <v>646.8599999999999</v>
      </c>
      <c r="G28">
        <v>705.01312277163879</v>
      </c>
    </row>
    <row r="29" spans="1:7" x14ac:dyDescent="0.55000000000000004">
      <c r="A29">
        <v>24</v>
      </c>
      <c r="B29" s="3">
        <v>43751.409722222219</v>
      </c>
      <c r="C29">
        <f t="shared" si="0"/>
        <v>5025.8358601748687</v>
      </c>
      <c r="D29">
        <f>$H$3+SUM($E$6:E29)</f>
        <v>18093009.096629526</v>
      </c>
      <c r="E29">
        <f t="shared" si="1"/>
        <v>1373.0531227716388</v>
      </c>
      <c r="F29">
        <v>668.04000000000008</v>
      </c>
      <c r="G29">
        <v>705.01312277163879</v>
      </c>
    </row>
    <row r="30" spans="1:7" x14ac:dyDescent="0.55000000000000004">
      <c r="A30">
        <v>25</v>
      </c>
      <c r="B30" s="3">
        <v>43751.416666666664</v>
      </c>
      <c r="C30">
        <f t="shared" si="0"/>
        <v>5026.2227471534161</v>
      </c>
      <c r="D30">
        <f>$H$3+SUM($E$6:E30)</f>
        <v>18094401.889752299</v>
      </c>
      <c r="E30">
        <f t="shared" si="1"/>
        <v>1392.7931227716388</v>
      </c>
      <c r="F30">
        <v>687.78</v>
      </c>
      <c r="G30">
        <v>705.01312277163879</v>
      </c>
    </row>
    <row r="31" spans="1:7" x14ac:dyDescent="0.55000000000000004">
      <c r="A31">
        <v>26</v>
      </c>
      <c r="B31" s="3">
        <v>43751.423611111109</v>
      </c>
      <c r="C31">
        <f t="shared" si="0"/>
        <v>5026.6147341319638</v>
      </c>
      <c r="D31">
        <f>$H$3+SUM($E$6:E31)</f>
        <v>18095813.04287507</v>
      </c>
      <c r="E31">
        <f t="shared" si="1"/>
        <v>1411.1531227716387</v>
      </c>
      <c r="F31">
        <v>706.14</v>
      </c>
      <c r="G31">
        <v>705.01312277163879</v>
      </c>
    </row>
    <row r="32" spans="1:7" x14ac:dyDescent="0.55000000000000004">
      <c r="A32">
        <v>27</v>
      </c>
      <c r="B32" s="3">
        <v>43751.430555555555</v>
      </c>
      <c r="C32">
        <f t="shared" si="0"/>
        <v>5027.0114044438451</v>
      </c>
      <c r="D32">
        <f>$H$3+SUM($E$6:E32)</f>
        <v>18097241.055997841</v>
      </c>
      <c r="E32">
        <f t="shared" si="1"/>
        <v>1428.0131227716388</v>
      </c>
      <c r="F32">
        <v>723</v>
      </c>
      <c r="G32">
        <v>705.01312277163879</v>
      </c>
    </row>
    <row r="33" spans="1:7" x14ac:dyDescent="0.55000000000000004">
      <c r="A33">
        <v>28</v>
      </c>
      <c r="B33" s="3">
        <v>43751.4375</v>
      </c>
      <c r="C33">
        <f t="shared" si="0"/>
        <v>5027.4123580890591</v>
      </c>
      <c r="D33">
        <f>$H$3+SUM($E$6:E33)</f>
        <v>18098684.489120614</v>
      </c>
      <c r="E33">
        <f t="shared" si="1"/>
        <v>1443.4331227716389</v>
      </c>
      <c r="F33">
        <v>738.42</v>
      </c>
      <c r="G33">
        <v>705.01312277163879</v>
      </c>
    </row>
    <row r="34" spans="1:7" x14ac:dyDescent="0.55000000000000004">
      <c r="A34">
        <v>29</v>
      </c>
      <c r="B34" s="3">
        <v>43751.444444444445</v>
      </c>
      <c r="C34">
        <f t="shared" si="0"/>
        <v>5027.8171617342741</v>
      </c>
      <c r="D34">
        <f>$H$3+SUM($E$6:E34)</f>
        <v>18100141.782243386</v>
      </c>
      <c r="E34">
        <f t="shared" si="1"/>
        <v>1457.2931227716388</v>
      </c>
      <c r="F34">
        <v>752.28</v>
      </c>
      <c r="G34">
        <v>705.01312277163879</v>
      </c>
    </row>
    <row r="35" spans="1:7" x14ac:dyDescent="0.55000000000000004">
      <c r="A35">
        <v>30</v>
      </c>
      <c r="B35" s="3">
        <v>43751.451388888891</v>
      </c>
      <c r="C35">
        <f t="shared" si="0"/>
        <v>5028.2253653794878</v>
      </c>
      <c r="D35">
        <f>$H$3+SUM($E$6:E35)</f>
        <v>18101611.315366156</v>
      </c>
      <c r="E35">
        <f t="shared" si="1"/>
        <v>1469.5331227716388</v>
      </c>
      <c r="F35">
        <v>764.52</v>
      </c>
      <c r="G35">
        <v>705.01312277163879</v>
      </c>
    </row>
    <row r="36" spans="1:7" x14ac:dyDescent="0.55000000000000004">
      <c r="A36">
        <v>31</v>
      </c>
      <c r="B36" s="3">
        <v>43751.458333333336</v>
      </c>
      <c r="C36">
        <f t="shared" si="0"/>
        <v>5028.6365523580362</v>
      </c>
      <c r="D36">
        <f>$H$3+SUM($E$6:E36)</f>
        <v>18103091.588488929</v>
      </c>
      <c r="E36">
        <f t="shared" si="1"/>
        <v>1480.2731227716386</v>
      </c>
      <c r="F36">
        <v>775.25999999999988</v>
      </c>
      <c r="G36">
        <v>705.01312277163879</v>
      </c>
    </row>
    <row r="37" spans="1:7" x14ac:dyDescent="0.55000000000000004">
      <c r="A37">
        <v>32</v>
      </c>
      <c r="B37" s="3">
        <v>43751.465277777781</v>
      </c>
      <c r="C37">
        <f t="shared" si="0"/>
        <v>5029.0502560032501</v>
      </c>
      <c r="D37">
        <f>$H$3+SUM($E$6:E37)</f>
        <v>18104580.9216117</v>
      </c>
      <c r="E37">
        <f t="shared" si="1"/>
        <v>1489.333122771639</v>
      </c>
      <c r="F37">
        <v>784.32</v>
      </c>
      <c r="G37">
        <v>705.01312277163879</v>
      </c>
    </row>
    <row r="38" spans="1:7" x14ac:dyDescent="0.55000000000000004">
      <c r="A38">
        <v>33</v>
      </c>
      <c r="B38" s="3">
        <v>43751.472222222219</v>
      </c>
      <c r="C38">
        <f t="shared" si="0"/>
        <v>5029.4660263151309</v>
      </c>
      <c r="D38">
        <f>$H$3+SUM($E$6:E38)</f>
        <v>18106077.694734473</v>
      </c>
      <c r="E38">
        <f t="shared" si="1"/>
        <v>1496.7731227716386</v>
      </c>
      <c r="F38">
        <v>791.75999999999988</v>
      </c>
      <c r="G38">
        <v>705.01312277163879</v>
      </c>
    </row>
    <row r="39" spans="1:7" x14ac:dyDescent="0.55000000000000004">
      <c r="A39">
        <v>34</v>
      </c>
      <c r="B39" s="3">
        <v>43751.479166666664</v>
      </c>
      <c r="C39">
        <f t="shared" si="0"/>
        <v>5029.8834132936781</v>
      </c>
      <c r="D39">
        <f>$H$3+SUM($E$6:E39)</f>
        <v>18107580.287857242</v>
      </c>
      <c r="E39">
        <f t="shared" si="1"/>
        <v>1502.5931227716387</v>
      </c>
      <c r="F39">
        <v>797.57999999999993</v>
      </c>
      <c r="G39">
        <v>705.01312277163879</v>
      </c>
    </row>
    <row r="40" spans="1:7" x14ac:dyDescent="0.55000000000000004">
      <c r="A40">
        <v>35</v>
      </c>
      <c r="B40" s="3">
        <v>43751.486111111109</v>
      </c>
      <c r="C40">
        <f t="shared" si="0"/>
        <v>5030.3019669388932</v>
      </c>
      <c r="D40">
        <f>$H$3+SUM($E$6:E40)</f>
        <v>18109087.080980014</v>
      </c>
      <c r="E40">
        <f t="shared" si="1"/>
        <v>1506.7931227716388</v>
      </c>
      <c r="F40">
        <v>801.78</v>
      </c>
      <c r="G40">
        <v>705.01312277163879</v>
      </c>
    </row>
    <row r="41" spans="1:7" x14ac:dyDescent="0.55000000000000004">
      <c r="A41">
        <v>36</v>
      </c>
      <c r="B41" s="3">
        <v>43751.493055555555</v>
      </c>
      <c r="C41">
        <f t="shared" si="0"/>
        <v>5030.721220584107</v>
      </c>
      <c r="D41">
        <f>$H$3+SUM($E$6:E41)</f>
        <v>18110596.394102786</v>
      </c>
      <c r="E41">
        <f t="shared" si="1"/>
        <v>1509.3131227716387</v>
      </c>
      <c r="F41">
        <v>804.3</v>
      </c>
      <c r="G41">
        <v>705.01312277163879</v>
      </c>
    </row>
    <row r="42" spans="1:7" x14ac:dyDescent="0.55000000000000004">
      <c r="A42">
        <v>37</v>
      </c>
      <c r="B42" s="3">
        <v>43751.5</v>
      </c>
      <c r="C42">
        <f t="shared" si="0"/>
        <v>5031.1406908959889</v>
      </c>
      <c r="D42">
        <f>$H$3+SUM($E$6:E42)</f>
        <v>18112106.487225559</v>
      </c>
      <c r="E42">
        <f t="shared" si="1"/>
        <v>1510.0931227716387</v>
      </c>
      <c r="F42">
        <v>805.07999999999993</v>
      </c>
      <c r="G42">
        <v>705.01312277163879</v>
      </c>
    </row>
    <row r="43" spans="1:7" x14ac:dyDescent="0.55000000000000004">
      <c r="A43">
        <v>38</v>
      </c>
      <c r="B43" s="3">
        <v>43751.506944444445</v>
      </c>
      <c r="C43">
        <f t="shared" si="0"/>
        <v>5031.5599445412026</v>
      </c>
      <c r="D43">
        <f>$H$3+SUM($E$6:E43)</f>
        <v>18113615.80034833</v>
      </c>
      <c r="E43">
        <f t="shared" si="1"/>
        <v>1509.3131227716387</v>
      </c>
      <c r="F43">
        <v>804.3</v>
      </c>
      <c r="G43">
        <v>705.01312277163879</v>
      </c>
    </row>
    <row r="44" spans="1:7" x14ac:dyDescent="0.55000000000000004">
      <c r="A44">
        <v>39</v>
      </c>
      <c r="B44" s="3">
        <v>43751.513888888891</v>
      </c>
      <c r="C44">
        <f t="shared" si="0"/>
        <v>5031.9784981864177</v>
      </c>
      <c r="D44">
        <f>$H$3+SUM($E$6:E44)</f>
        <v>18115122.593471102</v>
      </c>
      <c r="E44">
        <f t="shared" si="1"/>
        <v>1506.7931227716388</v>
      </c>
      <c r="F44">
        <v>801.78</v>
      </c>
      <c r="G44">
        <v>705.01312277163879</v>
      </c>
    </row>
    <row r="45" spans="1:7" x14ac:dyDescent="0.55000000000000004">
      <c r="A45">
        <v>40</v>
      </c>
      <c r="B45" s="3">
        <v>43751.520833333336</v>
      </c>
      <c r="C45">
        <f t="shared" si="0"/>
        <v>5032.3958851649641</v>
      </c>
      <c r="D45">
        <f>$H$3+SUM($E$6:E45)</f>
        <v>18116625.186593872</v>
      </c>
      <c r="E45">
        <f t="shared" si="1"/>
        <v>1502.5931227716387</v>
      </c>
      <c r="F45">
        <v>797.57999999999993</v>
      </c>
      <c r="G45">
        <v>705.01312277163879</v>
      </c>
    </row>
    <row r="46" spans="1:7" x14ac:dyDescent="0.55000000000000004">
      <c r="A46">
        <v>41</v>
      </c>
      <c r="B46" s="3">
        <v>43751.527777777781</v>
      </c>
      <c r="C46">
        <f t="shared" si="0"/>
        <v>5032.8116721435117</v>
      </c>
      <c r="D46">
        <f>$H$3+SUM($E$6:E46)</f>
        <v>18118122.019716643</v>
      </c>
      <c r="E46">
        <f t="shared" si="1"/>
        <v>1496.833122771639</v>
      </c>
      <c r="F46">
        <v>791.82</v>
      </c>
      <c r="G46">
        <v>705.01312277163879</v>
      </c>
    </row>
    <row r="47" spans="1:7" x14ac:dyDescent="0.55000000000000004">
      <c r="A47">
        <v>42</v>
      </c>
      <c r="B47" s="3">
        <v>43751.534722222219</v>
      </c>
      <c r="C47">
        <f t="shared" si="0"/>
        <v>5033.2253757887274</v>
      </c>
      <c r="D47">
        <f>$H$3+SUM($E$6:E47)</f>
        <v>18119611.352839418</v>
      </c>
      <c r="E47">
        <f t="shared" si="1"/>
        <v>1489.333122771639</v>
      </c>
      <c r="F47">
        <v>784.32</v>
      </c>
      <c r="G47">
        <v>705.01312277163879</v>
      </c>
    </row>
    <row r="48" spans="1:7" x14ac:dyDescent="0.55000000000000004">
      <c r="A48">
        <v>43</v>
      </c>
      <c r="B48" s="3">
        <v>43751.541666666664</v>
      </c>
      <c r="C48">
        <f t="shared" si="0"/>
        <v>5033.636562767274</v>
      </c>
      <c r="D48">
        <f>$H$3+SUM($E$6:E48)</f>
        <v>18121091.625962187</v>
      </c>
      <c r="E48">
        <f t="shared" si="1"/>
        <v>1480.2731227716386</v>
      </c>
      <c r="F48">
        <v>775.25999999999988</v>
      </c>
      <c r="G48">
        <v>705.01312277163879</v>
      </c>
    </row>
    <row r="49" spans="1:7" x14ac:dyDescent="0.55000000000000004">
      <c r="A49">
        <v>44</v>
      </c>
      <c r="B49" s="3">
        <v>43751.548611111109</v>
      </c>
      <c r="C49">
        <f t="shared" si="0"/>
        <v>5034.0447830791554</v>
      </c>
      <c r="D49">
        <f>$H$3+SUM($E$6:E49)</f>
        <v>18122561.219084959</v>
      </c>
      <c r="E49">
        <f t="shared" si="1"/>
        <v>1469.5931227716387</v>
      </c>
      <c r="F49">
        <v>764.57999999999993</v>
      </c>
      <c r="G49">
        <v>705.01312277163879</v>
      </c>
    </row>
    <row r="50" spans="1:7" x14ac:dyDescent="0.55000000000000004">
      <c r="A50">
        <v>45</v>
      </c>
      <c r="B50" s="3">
        <v>43751.555555555555</v>
      </c>
      <c r="C50">
        <f t="shared" si="0"/>
        <v>5034.4495867243695</v>
      </c>
      <c r="D50">
        <f>$H$3+SUM($E$6:E50)</f>
        <v>18124018.512207732</v>
      </c>
      <c r="E50">
        <f t="shared" si="1"/>
        <v>1457.2931227716388</v>
      </c>
      <c r="F50">
        <v>752.28</v>
      </c>
      <c r="G50">
        <v>705.01312277163879</v>
      </c>
    </row>
    <row r="51" spans="1:7" x14ac:dyDescent="0.55000000000000004">
      <c r="A51">
        <v>46</v>
      </c>
      <c r="B51" s="3">
        <v>43751.5625</v>
      </c>
      <c r="C51">
        <f t="shared" si="0"/>
        <v>5034.8505403695845</v>
      </c>
      <c r="D51">
        <f>$H$3+SUM($E$6:E51)</f>
        <v>18125461.945330504</v>
      </c>
      <c r="E51">
        <f t="shared" si="1"/>
        <v>1443.4331227716389</v>
      </c>
      <c r="F51">
        <v>738.42</v>
      </c>
      <c r="G51">
        <v>705.01312277163879</v>
      </c>
    </row>
    <row r="52" spans="1:7" x14ac:dyDescent="0.55000000000000004">
      <c r="A52">
        <v>47</v>
      </c>
      <c r="B52" s="3">
        <v>43751.569444444445</v>
      </c>
      <c r="C52">
        <f t="shared" si="0"/>
        <v>5035.2472273481317</v>
      </c>
      <c r="D52">
        <f>$H$3+SUM($E$6:E52)</f>
        <v>18126890.018453274</v>
      </c>
      <c r="E52">
        <f t="shared" si="1"/>
        <v>1428.0731227716387</v>
      </c>
      <c r="F52">
        <v>723.06</v>
      </c>
      <c r="G52">
        <v>705.01312277163879</v>
      </c>
    </row>
    <row r="53" spans="1:7" x14ac:dyDescent="0.55000000000000004">
      <c r="A53">
        <v>48</v>
      </c>
      <c r="B53" s="3">
        <v>43751.576388888891</v>
      </c>
      <c r="C53">
        <f t="shared" si="0"/>
        <v>5035.6392143266794</v>
      </c>
      <c r="D53">
        <f>$H$3+SUM($E$6:E53)</f>
        <v>18128301.171576045</v>
      </c>
      <c r="E53">
        <f t="shared" si="1"/>
        <v>1411.1531227716387</v>
      </c>
      <c r="F53">
        <v>706.14</v>
      </c>
      <c r="G53">
        <v>705.01312277163879</v>
      </c>
    </row>
    <row r="54" spans="1:7" x14ac:dyDescent="0.55000000000000004">
      <c r="A54">
        <v>49</v>
      </c>
      <c r="B54" s="3">
        <v>43751.583333333336</v>
      </c>
      <c r="C54">
        <f t="shared" si="0"/>
        <v>5036.0261179718937</v>
      </c>
      <c r="D54">
        <f>$H$3+SUM($E$6:E54)</f>
        <v>18129694.024698816</v>
      </c>
      <c r="E54">
        <f t="shared" si="1"/>
        <v>1392.8531227716389</v>
      </c>
      <c r="F54">
        <v>687.84</v>
      </c>
      <c r="G54">
        <v>705.01312277163879</v>
      </c>
    </row>
    <row r="55" spans="1:7" x14ac:dyDescent="0.55000000000000004">
      <c r="A55">
        <v>50</v>
      </c>
      <c r="B55" s="3">
        <v>43751.590277777781</v>
      </c>
      <c r="C55">
        <f t="shared" si="0"/>
        <v>5036.4075216171086</v>
      </c>
      <c r="D55">
        <f>$H$3+SUM($E$6:E55)</f>
        <v>18131067.07782159</v>
      </c>
      <c r="E55">
        <f t="shared" si="1"/>
        <v>1373.0531227716388</v>
      </c>
      <c r="F55">
        <v>668.04000000000008</v>
      </c>
      <c r="G55">
        <v>705.01312277163879</v>
      </c>
    </row>
    <row r="56" spans="1:7" x14ac:dyDescent="0.55000000000000004">
      <c r="A56">
        <v>51</v>
      </c>
      <c r="B56" s="3">
        <v>43751.597222222219</v>
      </c>
      <c r="C56">
        <f t="shared" si="0"/>
        <v>5036.732649660994</v>
      </c>
      <c r="D56">
        <f>$H$3+SUM($E$6:E56)</f>
        <v>18132237.538779579</v>
      </c>
      <c r="E56">
        <f t="shared" si="1"/>
        <v>1170.4609579884186</v>
      </c>
      <c r="F56">
        <v>646.8599999999999</v>
      </c>
      <c r="G56">
        <v>523.6009579884186</v>
      </c>
    </row>
    <row r="57" spans="1:7" x14ac:dyDescent="0.55000000000000004">
      <c r="A57">
        <v>52</v>
      </c>
      <c r="B57" s="3">
        <v>43751.604166666664</v>
      </c>
      <c r="C57">
        <f t="shared" si="0"/>
        <v>5037.0515277048789</v>
      </c>
      <c r="D57">
        <f>$H$3+SUM($E$6:E57)</f>
        <v>18133385.499737564</v>
      </c>
      <c r="E57">
        <f t="shared" si="1"/>
        <v>1147.9609579884186</v>
      </c>
      <c r="F57">
        <v>624.3599999999999</v>
      </c>
      <c r="G57">
        <v>523.6009579884186</v>
      </c>
    </row>
    <row r="58" spans="1:7" x14ac:dyDescent="0.55000000000000004">
      <c r="A58">
        <v>53</v>
      </c>
      <c r="B58" s="3">
        <v>43751.611111111109</v>
      </c>
      <c r="C58">
        <f t="shared" si="0"/>
        <v>5037.3637890820983</v>
      </c>
      <c r="D58">
        <f>$H$3+SUM($E$6:E58)</f>
        <v>18134509.640695553</v>
      </c>
      <c r="E58">
        <f t="shared" si="1"/>
        <v>1124.1409579884184</v>
      </c>
      <c r="F58">
        <v>600.54</v>
      </c>
      <c r="G58">
        <v>523.6009579884186</v>
      </c>
    </row>
    <row r="59" spans="1:7" x14ac:dyDescent="0.55000000000000004">
      <c r="A59">
        <v>54</v>
      </c>
      <c r="B59" s="3">
        <v>43751.618055555555</v>
      </c>
      <c r="C59">
        <f t="shared" si="0"/>
        <v>5037.6690837926508</v>
      </c>
      <c r="D59">
        <f>$H$3+SUM($E$6:E59)</f>
        <v>18135608.701653544</v>
      </c>
      <c r="E59">
        <f t="shared" si="1"/>
        <v>1099.0609579884185</v>
      </c>
      <c r="F59">
        <v>575.46</v>
      </c>
      <c r="G59">
        <v>523.6009579884186</v>
      </c>
    </row>
    <row r="60" spans="1:7" x14ac:dyDescent="0.55000000000000004">
      <c r="A60">
        <v>55</v>
      </c>
      <c r="B60" s="3">
        <v>43751.625</v>
      </c>
      <c r="C60">
        <f t="shared" si="0"/>
        <v>5037.9670951698699</v>
      </c>
      <c r="D60">
        <f>$H$3+SUM($E$6:E60)</f>
        <v>18136681.542611532</v>
      </c>
      <c r="E60">
        <f t="shared" si="1"/>
        <v>1072.8409579884187</v>
      </c>
      <c r="F60">
        <v>549.24</v>
      </c>
      <c r="G60">
        <v>523.6009579884186</v>
      </c>
    </row>
    <row r="61" spans="1:7" x14ac:dyDescent="0.55000000000000004">
      <c r="A61">
        <v>56</v>
      </c>
      <c r="B61" s="3">
        <v>43751.631944444445</v>
      </c>
      <c r="C61">
        <f t="shared" si="0"/>
        <v>5038.2575065470892</v>
      </c>
      <c r="D61">
        <f>$H$3+SUM($E$6:E61)</f>
        <v>18137727.023569521</v>
      </c>
      <c r="E61">
        <f t="shared" si="1"/>
        <v>1045.4809579884186</v>
      </c>
      <c r="F61">
        <v>521.88</v>
      </c>
      <c r="G61">
        <v>523.6009579884186</v>
      </c>
    </row>
    <row r="62" spans="1:7" x14ac:dyDescent="0.55000000000000004">
      <c r="A62">
        <v>57</v>
      </c>
      <c r="B62" s="3">
        <v>43751.638888888891</v>
      </c>
      <c r="C62">
        <f t="shared" si="0"/>
        <v>5038.5400179243079</v>
      </c>
      <c r="D62">
        <f>$H$3+SUM($E$6:E62)</f>
        <v>18138744.064527508</v>
      </c>
      <c r="E62">
        <f t="shared" si="1"/>
        <v>1017.0409579884185</v>
      </c>
      <c r="F62">
        <v>493.43999999999994</v>
      </c>
      <c r="G62">
        <v>523.6009579884186</v>
      </c>
    </row>
    <row r="63" spans="1:7" x14ac:dyDescent="0.55000000000000004">
      <c r="A63">
        <v>58</v>
      </c>
      <c r="B63" s="3">
        <v>43751.645833333336</v>
      </c>
      <c r="C63">
        <f t="shared" si="0"/>
        <v>5038.8143626348601</v>
      </c>
      <c r="D63">
        <f>$H$3+SUM($E$6:E63)</f>
        <v>18139731.705485497</v>
      </c>
      <c r="E63">
        <f t="shared" si="1"/>
        <v>987.64095798841856</v>
      </c>
      <c r="F63">
        <v>464.03999999999996</v>
      </c>
      <c r="G63">
        <v>523.6009579884186</v>
      </c>
    </row>
    <row r="64" spans="1:7" x14ac:dyDescent="0.55000000000000004">
      <c r="A64">
        <v>59</v>
      </c>
      <c r="B64" s="3">
        <v>43751.652777777781</v>
      </c>
      <c r="C64">
        <f t="shared" si="0"/>
        <v>5039.0802740120798</v>
      </c>
      <c r="D64">
        <f>$H$3+SUM($E$6:E64)</f>
        <v>18140688.986443486</v>
      </c>
      <c r="E64">
        <f t="shared" si="1"/>
        <v>957.28095798841855</v>
      </c>
      <c r="F64">
        <v>433.67999999999995</v>
      </c>
      <c r="G64">
        <v>523.6009579884186</v>
      </c>
    </row>
    <row r="65" spans="1:7" x14ac:dyDescent="0.55000000000000004">
      <c r="A65">
        <v>60</v>
      </c>
      <c r="B65" s="3">
        <v>43751.659722222219</v>
      </c>
      <c r="C65">
        <f t="shared" si="0"/>
        <v>5039.3375187226311</v>
      </c>
      <c r="D65">
        <f>$H$3+SUM($E$6:E65)</f>
        <v>18141615.067401472</v>
      </c>
      <c r="E65">
        <f t="shared" si="1"/>
        <v>926.0809579884185</v>
      </c>
      <c r="F65">
        <v>402.47999999999996</v>
      </c>
      <c r="G65">
        <v>523.6009579884186</v>
      </c>
    </row>
    <row r="66" spans="1:7" x14ac:dyDescent="0.55000000000000004">
      <c r="A66">
        <v>61</v>
      </c>
      <c r="B66" s="3">
        <v>43751.666666666664</v>
      </c>
      <c r="C66">
        <f t="shared" si="0"/>
        <v>5039.5858800998503</v>
      </c>
      <c r="D66">
        <f>$H$3+SUM($E$6:E66)</f>
        <v>18142509.168359462</v>
      </c>
      <c r="E66">
        <f t="shared" si="1"/>
        <v>894.1009579884186</v>
      </c>
      <c r="F66">
        <v>370.5</v>
      </c>
      <c r="G66">
        <v>523.6009579884186</v>
      </c>
    </row>
    <row r="67" spans="1:7" x14ac:dyDescent="0.55000000000000004">
      <c r="A67">
        <v>62</v>
      </c>
      <c r="B67" s="3">
        <v>43751.673611111109</v>
      </c>
      <c r="C67">
        <f t="shared" si="0"/>
        <v>5039.825191477069</v>
      </c>
      <c r="D67">
        <f>$H$3+SUM($E$6:E67)</f>
        <v>18143370.68931745</v>
      </c>
      <c r="E67">
        <f t="shared" si="1"/>
        <v>861.52095798841856</v>
      </c>
      <c r="F67">
        <v>337.92</v>
      </c>
      <c r="G67">
        <v>523.6009579884186</v>
      </c>
    </row>
    <row r="68" spans="1:7" x14ac:dyDescent="0.55000000000000004">
      <c r="A68">
        <v>63</v>
      </c>
      <c r="B68" s="3">
        <v>43751.680555555555</v>
      </c>
      <c r="C68">
        <f t="shared" si="0"/>
        <v>5040.0552861876213</v>
      </c>
      <c r="D68">
        <f>$H$3+SUM($E$6:E68)</f>
        <v>18144199.030275438</v>
      </c>
      <c r="E68">
        <f t="shared" si="1"/>
        <v>828.3409579884185</v>
      </c>
      <c r="F68">
        <v>304.73999999999995</v>
      </c>
      <c r="G68">
        <v>523.6009579884186</v>
      </c>
    </row>
    <row r="69" spans="1:7" x14ac:dyDescent="0.55000000000000004">
      <c r="A69">
        <v>64</v>
      </c>
      <c r="B69" s="3">
        <v>43751.6875</v>
      </c>
      <c r="C69">
        <f t="shared" si="0"/>
        <v>5040.2760642315079</v>
      </c>
      <c r="D69">
        <f>$H$3+SUM($E$6:E69)</f>
        <v>18144993.831233427</v>
      </c>
      <c r="E69">
        <f t="shared" si="1"/>
        <v>794.80095798841853</v>
      </c>
      <c r="F69">
        <v>271.2</v>
      </c>
      <c r="G69">
        <v>523.6009579884186</v>
      </c>
    </row>
    <row r="70" spans="1:7" x14ac:dyDescent="0.55000000000000004">
      <c r="A70">
        <v>65</v>
      </c>
      <c r="B70" s="3">
        <v>43751.694444444445</v>
      </c>
      <c r="C70">
        <f t="shared" si="0"/>
        <v>5040.487425608726</v>
      </c>
      <c r="D70">
        <f>$H$3+SUM($E$6:E70)</f>
        <v>18145754.732191414</v>
      </c>
      <c r="E70">
        <f t="shared" si="1"/>
        <v>760.90095798841855</v>
      </c>
      <c r="F70">
        <v>237.29999999999998</v>
      </c>
      <c r="G70">
        <v>523.6009579884186</v>
      </c>
    </row>
    <row r="71" spans="1:7" x14ac:dyDescent="0.55000000000000004">
      <c r="A71">
        <v>66</v>
      </c>
      <c r="B71" s="3">
        <v>43751.701388888891</v>
      </c>
      <c r="C71">
        <f t="shared" ref="C71:C84" si="2">D71/3600</f>
        <v>5040.6893703192791</v>
      </c>
      <c r="D71">
        <f>$H$3+SUM($E$6:E71)</f>
        <v>18146481.733149406</v>
      </c>
      <c r="E71">
        <f t="shared" ref="E71:E84" si="3">F71+G71</f>
        <v>727.00095798841858</v>
      </c>
      <c r="F71">
        <v>203.4</v>
      </c>
      <c r="G71">
        <v>523.6009579884186</v>
      </c>
    </row>
    <row r="72" spans="1:7" x14ac:dyDescent="0.55000000000000004">
      <c r="A72">
        <v>67</v>
      </c>
      <c r="B72" s="3">
        <v>43751.708333333336</v>
      </c>
      <c r="C72">
        <f t="shared" si="2"/>
        <v>5040.8819316964982</v>
      </c>
      <c r="D72">
        <f>$H$3+SUM($E$6:E72)</f>
        <v>18147174.954107393</v>
      </c>
      <c r="E72">
        <f t="shared" si="3"/>
        <v>693.2209579884186</v>
      </c>
      <c r="F72">
        <v>169.61999999999998</v>
      </c>
      <c r="G72">
        <v>523.6009579884186</v>
      </c>
    </row>
    <row r="73" spans="1:7" x14ac:dyDescent="0.55000000000000004">
      <c r="A73">
        <v>68</v>
      </c>
      <c r="B73" s="3">
        <v>43751.715277777781</v>
      </c>
      <c r="C73">
        <f t="shared" si="2"/>
        <v>5040.919781696497</v>
      </c>
      <c r="D73">
        <f>$H$3+SUM($E$6:E73)</f>
        <v>18147311.21410739</v>
      </c>
      <c r="E73">
        <f t="shared" si="3"/>
        <v>136.26</v>
      </c>
      <c r="F73">
        <v>136.26</v>
      </c>
      <c r="G73">
        <v>0</v>
      </c>
    </row>
    <row r="74" spans="1:7" x14ac:dyDescent="0.55000000000000004">
      <c r="A74">
        <v>69</v>
      </c>
      <c r="B74" s="3">
        <v>43751.722222222219</v>
      </c>
      <c r="C74">
        <f t="shared" si="2"/>
        <v>5040.9486483631645</v>
      </c>
      <c r="D74">
        <f>$H$3+SUM($E$6:E74)</f>
        <v>18147415.134107392</v>
      </c>
      <c r="E74">
        <f t="shared" si="3"/>
        <v>103.91999999999999</v>
      </c>
      <c r="F74">
        <v>103.91999999999999</v>
      </c>
      <c r="G74">
        <v>0</v>
      </c>
    </row>
    <row r="75" spans="1:7" x14ac:dyDescent="0.55000000000000004">
      <c r="A75">
        <v>70</v>
      </c>
      <c r="B75" s="3">
        <v>43751.729166666664</v>
      </c>
      <c r="C75">
        <f t="shared" si="2"/>
        <v>5040.9689650298315</v>
      </c>
      <c r="D75">
        <f>$H$3+SUM($E$6:E75)</f>
        <v>18147488.274107393</v>
      </c>
      <c r="E75">
        <f t="shared" si="3"/>
        <v>73.14</v>
      </c>
      <c r="F75">
        <v>73.14</v>
      </c>
      <c r="G75">
        <v>0</v>
      </c>
    </row>
    <row r="76" spans="1:7" x14ac:dyDescent="0.55000000000000004">
      <c r="A76">
        <v>71</v>
      </c>
      <c r="B76" s="3">
        <v>43751.736111111109</v>
      </c>
      <c r="C76">
        <f t="shared" si="2"/>
        <v>5040.9814816964972</v>
      </c>
      <c r="D76">
        <f>$H$3+SUM($E$6:E76)</f>
        <v>18147533.334107392</v>
      </c>
      <c r="E76">
        <f t="shared" si="3"/>
        <v>45.059999999999995</v>
      </c>
      <c r="F76">
        <v>45.059999999999995</v>
      </c>
      <c r="G76">
        <v>0</v>
      </c>
    </row>
    <row r="77" spans="1:7" x14ac:dyDescent="0.55000000000000004">
      <c r="A77">
        <v>72</v>
      </c>
      <c r="B77" s="3">
        <v>43751.743055555555</v>
      </c>
      <c r="C77">
        <f t="shared" si="2"/>
        <v>5040.9874816964984</v>
      </c>
      <c r="D77">
        <f>$H$3+SUM($E$6:E77)</f>
        <v>18147554.934107393</v>
      </c>
      <c r="E77">
        <f t="shared" si="3"/>
        <v>21.599999999999998</v>
      </c>
      <c r="F77">
        <v>21.599999999999998</v>
      </c>
      <c r="G77">
        <v>0</v>
      </c>
    </row>
    <row r="78" spans="1:7" x14ac:dyDescent="0.55000000000000004">
      <c r="A78">
        <v>73</v>
      </c>
      <c r="B78" s="3">
        <v>43751.75</v>
      </c>
      <c r="C78">
        <f t="shared" si="2"/>
        <v>5040.9891150298308</v>
      </c>
      <c r="D78">
        <f>$H$3+SUM($E$6:E78)</f>
        <v>18147560.814107392</v>
      </c>
      <c r="E78">
        <f t="shared" si="3"/>
        <v>5.88</v>
      </c>
      <c r="F78">
        <v>5.88</v>
      </c>
      <c r="G78">
        <v>0</v>
      </c>
    </row>
  </sheetData>
  <mergeCells count="1">
    <mergeCell ref="F3:G3"/>
  </mergeCells>
  <phoneticPr fontId="1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4A7CD4-6075-4438-914E-913ED89349EA}">
  <sheetPr codeName="Sheet7"/>
  <dimension ref="A1:H78"/>
  <sheetViews>
    <sheetView zoomScale="70" zoomScaleNormal="70" workbookViewId="0">
      <selection activeCell="P71" sqref="P71"/>
    </sheetView>
  </sheetViews>
  <sheetFormatPr defaultRowHeight="18" x14ac:dyDescent="0.55000000000000004"/>
  <cols>
    <col min="2" max="2" width="16.4140625" customWidth="1"/>
    <col min="3" max="3" width="16.83203125" customWidth="1"/>
    <col min="4" max="4" width="16.58203125" customWidth="1"/>
    <col min="5" max="5" width="11.5" customWidth="1"/>
    <col min="6" max="6" width="13.33203125" customWidth="1"/>
    <col min="8" max="8" width="11.25" bestFit="1" customWidth="1"/>
  </cols>
  <sheetData>
    <row r="1" spans="1:8" x14ac:dyDescent="0.55000000000000004">
      <c r="A1" t="s">
        <v>1</v>
      </c>
    </row>
    <row r="2" spans="1:8" x14ac:dyDescent="0.55000000000000004">
      <c r="A2" s="2" t="s">
        <v>2</v>
      </c>
      <c r="B2" s="1" t="s">
        <v>3</v>
      </c>
      <c r="C2" s="2" t="s">
        <v>2</v>
      </c>
      <c r="D2" s="1" t="s">
        <v>4</v>
      </c>
      <c r="F2" s="5" t="s">
        <v>15</v>
      </c>
      <c r="G2" s="4" t="s">
        <v>9</v>
      </c>
      <c r="H2" s="1" t="s">
        <v>9</v>
      </c>
    </row>
    <row r="3" spans="1:8" x14ac:dyDescent="0.55000000000000004">
      <c r="A3" s="1" t="s">
        <v>5</v>
      </c>
      <c r="B3" s="1" t="s">
        <v>0</v>
      </c>
      <c r="C3" s="1" t="s">
        <v>5</v>
      </c>
      <c r="D3" s="1" t="s">
        <v>0</v>
      </c>
      <c r="F3" s="11" t="s">
        <v>17</v>
      </c>
      <c r="G3" s="11"/>
      <c r="H3">
        <f>Main_Day4!D78</f>
        <v>18147560.814107392</v>
      </c>
    </row>
    <row r="4" spans="1:8" x14ac:dyDescent="0.55000000000000004">
      <c r="A4" s="1"/>
      <c r="B4" s="1"/>
      <c r="C4" s="1"/>
      <c r="D4" s="1"/>
    </row>
    <row r="5" spans="1:8" x14ac:dyDescent="0.55000000000000004">
      <c r="A5" t="s">
        <v>7</v>
      </c>
      <c r="B5" s="3" t="s">
        <v>8</v>
      </c>
      <c r="C5" t="s">
        <v>16</v>
      </c>
      <c r="D5" t="s">
        <v>11</v>
      </c>
      <c r="E5" t="s">
        <v>12</v>
      </c>
      <c r="F5" t="s">
        <v>13</v>
      </c>
      <c r="G5" t="s">
        <v>14</v>
      </c>
    </row>
    <row r="6" spans="1:8" x14ac:dyDescent="0.55000000000000004">
      <c r="A6">
        <v>1</v>
      </c>
      <c r="B6" s="3">
        <v>43751.25</v>
      </c>
      <c r="D6">
        <f>$H$3+SUM($E$6:E6)</f>
        <v>18147566.694107391</v>
      </c>
      <c r="E6">
        <f>F6+G6</f>
        <v>5.88</v>
      </c>
      <c r="F6">
        <v>5.88</v>
      </c>
      <c r="G6">
        <v>0</v>
      </c>
    </row>
    <row r="7" spans="1:8" x14ac:dyDescent="0.55000000000000004">
      <c r="A7">
        <v>2</v>
      </c>
      <c r="B7" s="3">
        <v>43751.256944444445</v>
      </c>
      <c r="D7">
        <f>$H$3+SUM($E$6:E7)</f>
        <v>18147588.294107392</v>
      </c>
      <c r="E7">
        <f t="shared" ref="E7:E70" si="0">F7+G7</f>
        <v>21.599999999999998</v>
      </c>
      <c r="F7">
        <v>21.599999999999998</v>
      </c>
      <c r="G7">
        <v>0</v>
      </c>
    </row>
    <row r="8" spans="1:8" x14ac:dyDescent="0.55000000000000004">
      <c r="A8">
        <v>3</v>
      </c>
      <c r="B8" s="3">
        <v>43751.263888888891</v>
      </c>
      <c r="D8">
        <f>$H$3+SUM($E$6:E8)</f>
        <v>18147633.354107391</v>
      </c>
      <c r="E8">
        <f t="shared" si="0"/>
        <v>45.059999999999995</v>
      </c>
      <c r="F8">
        <v>45.059999999999995</v>
      </c>
      <c r="G8">
        <v>0</v>
      </c>
    </row>
    <row r="9" spans="1:8" x14ac:dyDescent="0.55000000000000004">
      <c r="A9">
        <v>4</v>
      </c>
      <c r="B9" s="3">
        <v>43751.270833333336</v>
      </c>
      <c r="D9">
        <f>$H$3+SUM($E$6:E9)</f>
        <v>18147706.434107393</v>
      </c>
      <c r="E9">
        <f t="shared" si="0"/>
        <v>73.08</v>
      </c>
      <c r="F9">
        <v>73.08</v>
      </c>
      <c r="G9">
        <v>0</v>
      </c>
    </row>
    <row r="10" spans="1:8" x14ac:dyDescent="0.55000000000000004">
      <c r="A10">
        <v>5</v>
      </c>
      <c r="B10" s="3">
        <v>43751.277777777781</v>
      </c>
      <c r="D10">
        <f>$H$3+SUM($E$6:E10)</f>
        <v>18147810.294107392</v>
      </c>
      <c r="E10">
        <f t="shared" si="0"/>
        <v>103.86</v>
      </c>
      <c r="F10">
        <v>103.86</v>
      </c>
      <c r="G10">
        <v>0</v>
      </c>
    </row>
    <row r="11" spans="1:8" x14ac:dyDescent="0.55000000000000004">
      <c r="A11">
        <v>6</v>
      </c>
      <c r="B11" s="3">
        <v>43751.284722222219</v>
      </c>
      <c r="D11">
        <f>$H$3+SUM($E$6:E11)</f>
        <v>18147946.55410739</v>
      </c>
      <c r="E11">
        <f t="shared" si="0"/>
        <v>136.26</v>
      </c>
      <c r="F11">
        <v>136.26</v>
      </c>
      <c r="G11">
        <v>0</v>
      </c>
    </row>
    <row r="12" spans="1:8" x14ac:dyDescent="0.55000000000000004">
      <c r="A12">
        <v>7</v>
      </c>
      <c r="B12" s="3">
        <v>43751.291666666664</v>
      </c>
      <c r="D12">
        <f>$H$3+SUM($E$6:E12)</f>
        <v>18148116.114107393</v>
      </c>
      <c r="E12">
        <f t="shared" si="0"/>
        <v>169.56</v>
      </c>
      <c r="F12">
        <v>169.56</v>
      </c>
      <c r="G12">
        <v>0</v>
      </c>
    </row>
    <row r="13" spans="1:8" x14ac:dyDescent="0.55000000000000004">
      <c r="A13">
        <v>8</v>
      </c>
      <c r="B13" s="3">
        <v>43751.298611111109</v>
      </c>
      <c r="D13">
        <f>$H$3+SUM($E$6:E13)</f>
        <v>18148319.454107393</v>
      </c>
      <c r="E13">
        <f t="shared" si="0"/>
        <v>203.33999999999997</v>
      </c>
      <c r="F13">
        <v>203.33999999999997</v>
      </c>
      <c r="G13">
        <v>0</v>
      </c>
    </row>
    <row r="14" spans="1:8" x14ac:dyDescent="0.55000000000000004">
      <c r="A14">
        <v>9</v>
      </c>
      <c r="B14" s="3">
        <v>43751.305555555555</v>
      </c>
      <c r="D14">
        <f>$H$3+SUM($E$6:E14)</f>
        <v>18148556.754107393</v>
      </c>
      <c r="E14">
        <f t="shared" si="0"/>
        <v>237.29999999999998</v>
      </c>
      <c r="F14">
        <v>237.29999999999998</v>
      </c>
      <c r="G14">
        <v>0</v>
      </c>
    </row>
    <row r="15" spans="1:8" x14ac:dyDescent="0.55000000000000004">
      <c r="A15">
        <v>10</v>
      </c>
      <c r="B15" s="3">
        <v>43751.3125</v>
      </c>
      <c r="D15">
        <f>$H$3+SUM($E$6:E15)</f>
        <v>18148827.89410739</v>
      </c>
      <c r="E15">
        <f t="shared" si="0"/>
        <v>271.14</v>
      </c>
      <c r="F15">
        <v>271.14</v>
      </c>
      <c r="G15">
        <v>0</v>
      </c>
    </row>
    <row r="16" spans="1:8" x14ac:dyDescent="0.55000000000000004">
      <c r="A16">
        <v>11</v>
      </c>
      <c r="B16" s="3">
        <v>43751.319444444445</v>
      </c>
      <c r="D16">
        <f>$H$3+SUM($E$6:E16)</f>
        <v>18149132.634107392</v>
      </c>
      <c r="E16">
        <f t="shared" si="0"/>
        <v>304.73999999999995</v>
      </c>
      <c r="F16">
        <v>304.73999999999995</v>
      </c>
      <c r="G16">
        <v>0</v>
      </c>
    </row>
    <row r="17" spans="1:7" x14ac:dyDescent="0.55000000000000004">
      <c r="A17">
        <v>12</v>
      </c>
      <c r="B17" s="3">
        <v>43751.326388888891</v>
      </c>
      <c r="D17">
        <f>$H$3+SUM($E$6:E17)</f>
        <v>18149470.494107392</v>
      </c>
      <c r="E17">
        <f t="shared" si="0"/>
        <v>337.86</v>
      </c>
      <c r="F17">
        <v>337.86</v>
      </c>
      <c r="G17">
        <v>0</v>
      </c>
    </row>
    <row r="18" spans="1:7" x14ac:dyDescent="0.55000000000000004">
      <c r="A18">
        <v>13</v>
      </c>
      <c r="B18" s="3">
        <v>43751.333333333336</v>
      </c>
      <c r="D18">
        <f>$H$3+SUM($E$6:E18)</f>
        <v>18150546.007230163</v>
      </c>
      <c r="E18">
        <f t="shared" si="0"/>
        <v>1075.5131227716388</v>
      </c>
      <c r="F18">
        <v>370.5</v>
      </c>
      <c r="G18">
        <v>705.01312277163879</v>
      </c>
    </row>
    <row r="19" spans="1:7" x14ac:dyDescent="0.55000000000000004">
      <c r="A19">
        <v>14</v>
      </c>
      <c r="B19" s="3">
        <v>43751.340277777781</v>
      </c>
      <c r="D19">
        <f>$H$3+SUM($E$6:E19)</f>
        <v>18151653.440352935</v>
      </c>
      <c r="E19">
        <f t="shared" si="0"/>
        <v>1107.4331227716389</v>
      </c>
      <c r="F19">
        <v>402.42</v>
      </c>
      <c r="G19">
        <v>705.01312277163879</v>
      </c>
    </row>
    <row r="20" spans="1:7" x14ac:dyDescent="0.55000000000000004">
      <c r="A20">
        <v>15</v>
      </c>
      <c r="B20" s="3">
        <v>43751.347222222219</v>
      </c>
      <c r="D20">
        <f>$H$3+SUM($E$6:E20)</f>
        <v>18152792.073475707</v>
      </c>
      <c r="E20">
        <f t="shared" si="0"/>
        <v>1138.6331227716387</v>
      </c>
      <c r="F20">
        <v>433.62</v>
      </c>
      <c r="G20">
        <v>705.01312277163879</v>
      </c>
    </row>
    <row r="21" spans="1:7" x14ac:dyDescent="0.55000000000000004">
      <c r="A21">
        <v>16</v>
      </c>
      <c r="B21" s="3">
        <v>43751.354166666664</v>
      </c>
      <c r="D21">
        <f>$H$3+SUM($E$6:E21)</f>
        <v>18153961.066598479</v>
      </c>
      <c r="E21">
        <f t="shared" si="0"/>
        <v>1168.9931227716388</v>
      </c>
      <c r="F21">
        <v>463.97999999999996</v>
      </c>
      <c r="G21">
        <v>705.01312277163879</v>
      </c>
    </row>
    <row r="22" spans="1:7" x14ac:dyDescent="0.55000000000000004">
      <c r="A22">
        <v>17</v>
      </c>
      <c r="B22" s="3">
        <v>43751.361111111109</v>
      </c>
      <c r="D22">
        <f>$H$3+SUM($E$6:E22)</f>
        <v>18155159.519721251</v>
      </c>
      <c r="E22">
        <f t="shared" si="0"/>
        <v>1198.4531227716388</v>
      </c>
      <c r="F22">
        <v>493.43999999999994</v>
      </c>
      <c r="G22">
        <v>705.01312277163879</v>
      </c>
    </row>
    <row r="23" spans="1:7" x14ac:dyDescent="0.55000000000000004">
      <c r="A23">
        <v>18</v>
      </c>
      <c r="B23" s="3">
        <v>43751.368055555555</v>
      </c>
      <c r="D23">
        <f>$H$3+SUM($E$6:E23)</f>
        <v>18156386.412844021</v>
      </c>
      <c r="E23">
        <f t="shared" si="0"/>
        <v>1226.8931227716389</v>
      </c>
      <c r="F23">
        <v>521.88</v>
      </c>
      <c r="G23">
        <v>705.01312277163879</v>
      </c>
    </row>
    <row r="24" spans="1:7" x14ac:dyDescent="0.55000000000000004">
      <c r="A24">
        <v>19</v>
      </c>
      <c r="B24" s="3">
        <v>43751.375</v>
      </c>
      <c r="D24">
        <f>$H$3+SUM($E$6:E24)</f>
        <v>18157640.665966794</v>
      </c>
      <c r="E24">
        <f t="shared" si="0"/>
        <v>1254.2531227716388</v>
      </c>
      <c r="F24">
        <v>549.24</v>
      </c>
      <c r="G24">
        <v>705.01312277163879</v>
      </c>
    </row>
    <row r="25" spans="1:7" x14ac:dyDescent="0.55000000000000004">
      <c r="A25">
        <v>20</v>
      </c>
      <c r="B25" s="3">
        <v>43751.381944444445</v>
      </c>
      <c r="D25">
        <f>$H$3+SUM($E$6:E25)</f>
        <v>18158921.139089566</v>
      </c>
      <c r="E25">
        <f t="shared" si="0"/>
        <v>1280.4731227716388</v>
      </c>
      <c r="F25">
        <v>575.46</v>
      </c>
      <c r="G25">
        <v>705.01312277163879</v>
      </c>
    </row>
    <row r="26" spans="1:7" x14ac:dyDescent="0.55000000000000004">
      <c r="A26">
        <v>21</v>
      </c>
      <c r="B26" s="3">
        <v>43751.388888888891</v>
      </c>
      <c r="D26">
        <f>$H$3+SUM($E$6:E26)</f>
        <v>18160226.692212336</v>
      </c>
      <c r="E26">
        <f t="shared" si="0"/>
        <v>1305.5531227716388</v>
      </c>
      <c r="F26">
        <v>600.54</v>
      </c>
      <c r="G26">
        <v>705.01312277163879</v>
      </c>
    </row>
    <row r="27" spans="1:7" x14ac:dyDescent="0.55000000000000004">
      <c r="A27">
        <v>22</v>
      </c>
      <c r="B27" s="3">
        <v>43751.395833333336</v>
      </c>
      <c r="D27">
        <f>$H$3+SUM($E$6:E27)</f>
        <v>18161556.005335107</v>
      </c>
      <c r="E27">
        <f t="shared" si="0"/>
        <v>1329.3131227716387</v>
      </c>
      <c r="F27">
        <v>624.29999999999995</v>
      </c>
      <c r="G27">
        <v>705.01312277163879</v>
      </c>
    </row>
    <row r="28" spans="1:7" x14ac:dyDescent="0.55000000000000004">
      <c r="A28">
        <v>23</v>
      </c>
      <c r="B28" s="3">
        <v>43751.402777777781</v>
      </c>
      <c r="D28">
        <f>$H$3+SUM($E$6:E28)</f>
        <v>18162907.878457882</v>
      </c>
      <c r="E28">
        <f t="shared" si="0"/>
        <v>1351.8731227716387</v>
      </c>
      <c r="F28">
        <v>646.8599999999999</v>
      </c>
      <c r="G28">
        <v>705.01312277163879</v>
      </c>
    </row>
    <row r="29" spans="1:7" x14ac:dyDescent="0.55000000000000004">
      <c r="A29">
        <v>24</v>
      </c>
      <c r="B29" s="3">
        <v>43751.409722222219</v>
      </c>
      <c r="D29">
        <f>$H$3+SUM($E$6:E29)</f>
        <v>18164280.931580652</v>
      </c>
      <c r="E29">
        <f t="shared" si="0"/>
        <v>1373.0531227716388</v>
      </c>
      <c r="F29">
        <v>668.04000000000008</v>
      </c>
      <c r="G29">
        <v>705.01312277163879</v>
      </c>
    </row>
    <row r="30" spans="1:7" x14ac:dyDescent="0.55000000000000004">
      <c r="A30">
        <v>25</v>
      </c>
      <c r="B30" s="3">
        <v>43751.416666666664</v>
      </c>
      <c r="D30">
        <f>$H$3+SUM($E$6:E30)</f>
        <v>18165673.724703424</v>
      </c>
      <c r="E30">
        <f t="shared" si="0"/>
        <v>1392.7931227716388</v>
      </c>
      <c r="F30">
        <v>687.78</v>
      </c>
      <c r="G30">
        <v>705.01312277163879</v>
      </c>
    </row>
    <row r="31" spans="1:7" x14ac:dyDescent="0.55000000000000004">
      <c r="A31">
        <v>26</v>
      </c>
      <c r="B31" s="3">
        <v>43751.423611111109</v>
      </c>
      <c r="D31">
        <f>$H$3+SUM($E$6:E31)</f>
        <v>18167084.877826195</v>
      </c>
      <c r="E31">
        <f t="shared" si="0"/>
        <v>1411.1531227716387</v>
      </c>
      <c r="F31">
        <v>706.14</v>
      </c>
      <c r="G31">
        <v>705.01312277163879</v>
      </c>
    </row>
    <row r="32" spans="1:7" x14ac:dyDescent="0.55000000000000004">
      <c r="A32">
        <v>27</v>
      </c>
      <c r="B32" s="3">
        <v>43751.430555555555</v>
      </c>
      <c r="D32">
        <f>$H$3+SUM($E$6:E32)</f>
        <v>18168512.890948966</v>
      </c>
      <c r="E32">
        <f t="shared" si="0"/>
        <v>1428.0131227716388</v>
      </c>
      <c r="F32">
        <v>723</v>
      </c>
      <c r="G32">
        <v>705.01312277163879</v>
      </c>
    </row>
    <row r="33" spans="1:7" x14ac:dyDescent="0.55000000000000004">
      <c r="A33">
        <v>28</v>
      </c>
      <c r="B33" s="3">
        <v>43751.4375</v>
      </c>
      <c r="D33">
        <f>$H$3+SUM($E$6:E33)</f>
        <v>18169956.324071739</v>
      </c>
      <c r="E33">
        <f t="shared" si="0"/>
        <v>1443.4331227716389</v>
      </c>
      <c r="F33">
        <v>738.42</v>
      </c>
      <c r="G33">
        <v>705.01312277163879</v>
      </c>
    </row>
    <row r="34" spans="1:7" x14ac:dyDescent="0.55000000000000004">
      <c r="A34">
        <v>29</v>
      </c>
      <c r="B34" s="3">
        <v>43751.444444444445</v>
      </c>
      <c r="D34">
        <f>$H$3+SUM($E$6:E34)</f>
        <v>18171413.617194511</v>
      </c>
      <c r="E34">
        <f t="shared" si="0"/>
        <v>1457.2931227716388</v>
      </c>
      <c r="F34">
        <v>752.28</v>
      </c>
      <c r="G34">
        <v>705.01312277163879</v>
      </c>
    </row>
    <row r="35" spans="1:7" x14ac:dyDescent="0.55000000000000004">
      <c r="A35">
        <v>30</v>
      </c>
      <c r="B35" s="3">
        <v>43751.451388888891</v>
      </c>
      <c r="D35">
        <f>$H$3+SUM($E$6:E35)</f>
        <v>18172883.150317281</v>
      </c>
      <c r="E35">
        <f t="shared" si="0"/>
        <v>1469.5331227716388</v>
      </c>
      <c r="F35">
        <v>764.52</v>
      </c>
      <c r="G35">
        <v>705.01312277163879</v>
      </c>
    </row>
    <row r="36" spans="1:7" x14ac:dyDescent="0.55000000000000004">
      <c r="A36">
        <v>31</v>
      </c>
      <c r="B36" s="3">
        <v>43751.458333333336</v>
      </c>
      <c r="D36">
        <f>$H$3+SUM($E$6:E36)</f>
        <v>18174363.423440054</v>
      </c>
      <c r="E36">
        <f t="shared" si="0"/>
        <v>1480.2731227716386</v>
      </c>
      <c r="F36">
        <v>775.25999999999988</v>
      </c>
      <c r="G36">
        <v>705.01312277163879</v>
      </c>
    </row>
    <row r="37" spans="1:7" x14ac:dyDescent="0.55000000000000004">
      <c r="A37">
        <v>32</v>
      </c>
      <c r="B37" s="3">
        <v>43751.465277777781</v>
      </c>
      <c r="D37">
        <f>$H$3+SUM($E$6:E37)</f>
        <v>18175852.756562825</v>
      </c>
      <c r="E37">
        <f t="shared" si="0"/>
        <v>1489.333122771639</v>
      </c>
      <c r="F37">
        <v>784.32</v>
      </c>
      <c r="G37">
        <v>705.01312277163879</v>
      </c>
    </row>
    <row r="38" spans="1:7" x14ac:dyDescent="0.55000000000000004">
      <c r="A38">
        <v>33</v>
      </c>
      <c r="B38" s="3">
        <v>43751.472222222219</v>
      </c>
      <c r="D38">
        <f>$H$3+SUM($E$6:E38)</f>
        <v>18177349.529685598</v>
      </c>
      <c r="E38">
        <f t="shared" si="0"/>
        <v>1496.7731227716386</v>
      </c>
      <c r="F38">
        <v>791.75999999999988</v>
      </c>
      <c r="G38">
        <v>705.01312277163879</v>
      </c>
    </row>
    <row r="39" spans="1:7" x14ac:dyDescent="0.55000000000000004">
      <c r="A39">
        <v>34</v>
      </c>
      <c r="B39" s="3">
        <v>43751.479166666664</v>
      </c>
      <c r="D39">
        <f>$H$3+SUM($E$6:E39)</f>
        <v>18178852.122808367</v>
      </c>
      <c r="E39">
        <f t="shared" si="0"/>
        <v>1502.5931227716387</v>
      </c>
      <c r="F39">
        <v>797.57999999999993</v>
      </c>
      <c r="G39">
        <v>705.01312277163879</v>
      </c>
    </row>
    <row r="40" spans="1:7" x14ac:dyDescent="0.55000000000000004">
      <c r="A40">
        <v>35</v>
      </c>
      <c r="B40" s="3">
        <v>43751.486111111109</v>
      </c>
      <c r="D40">
        <f>$H$3+SUM($E$6:E40)</f>
        <v>18180358.915931139</v>
      </c>
      <c r="E40">
        <f t="shared" si="0"/>
        <v>1506.7931227716388</v>
      </c>
      <c r="F40">
        <v>801.78</v>
      </c>
      <c r="G40">
        <v>705.01312277163879</v>
      </c>
    </row>
    <row r="41" spans="1:7" x14ac:dyDescent="0.55000000000000004">
      <c r="A41">
        <v>36</v>
      </c>
      <c r="B41" s="3">
        <v>43751.493055555555</v>
      </c>
      <c r="D41">
        <f>$H$3+SUM($E$6:E41)</f>
        <v>18181868.229053911</v>
      </c>
      <c r="E41">
        <f t="shared" si="0"/>
        <v>1509.3131227716387</v>
      </c>
      <c r="F41">
        <v>804.3</v>
      </c>
      <c r="G41">
        <v>705.01312277163879</v>
      </c>
    </row>
    <row r="42" spans="1:7" x14ac:dyDescent="0.55000000000000004">
      <c r="A42">
        <v>37</v>
      </c>
      <c r="B42" s="3">
        <v>43751.5</v>
      </c>
      <c r="D42">
        <f>$H$3+SUM($E$6:E42)</f>
        <v>18183378.322176684</v>
      </c>
      <c r="E42">
        <f t="shared" si="0"/>
        <v>1510.0931227716387</v>
      </c>
      <c r="F42">
        <v>805.07999999999993</v>
      </c>
      <c r="G42">
        <v>705.01312277163879</v>
      </c>
    </row>
    <row r="43" spans="1:7" x14ac:dyDescent="0.55000000000000004">
      <c r="A43">
        <v>38</v>
      </c>
      <c r="B43" s="3">
        <v>43751.506944444445</v>
      </c>
      <c r="D43">
        <f>$H$3+SUM($E$6:E43)</f>
        <v>18184887.635299455</v>
      </c>
      <c r="E43">
        <f t="shared" si="0"/>
        <v>1509.3131227716387</v>
      </c>
      <c r="F43">
        <v>804.3</v>
      </c>
      <c r="G43">
        <v>705.01312277163879</v>
      </c>
    </row>
    <row r="44" spans="1:7" x14ac:dyDescent="0.55000000000000004">
      <c r="A44">
        <v>39</v>
      </c>
      <c r="B44" s="3">
        <v>43751.513888888891</v>
      </c>
      <c r="D44">
        <f>$H$3+SUM($E$6:E44)</f>
        <v>18186394.428422228</v>
      </c>
      <c r="E44">
        <f t="shared" si="0"/>
        <v>1506.7931227716388</v>
      </c>
      <c r="F44">
        <v>801.78</v>
      </c>
      <c r="G44">
        <v>705.01312277163879</v>
      </c>
    </row>
    <row r="45" spans="1:7" x14ac:dyDescent="0.55000000000000004">
      <c r="A45">
        <v>40</v>
      </c>
      <c r="B45" s="3">
        <v>43751.520833333336</v>
      </c>
      <c r="D45">
        <f>$H$3+SUM($E$6:E45)</f>
        <v>18187897.021544997</v>
      </c>
      <c r="E45">
        <f t="shared" si="0"/>
        <v>1502.5931227716387</v>
      </c>
      <c r="F45">
        <v>797.57999999999993</v>
      </c>
      <c r="G45">
        <v>705.01312277163879</v>
      </c>
    </row>
    <row r="46" spans="1:7" x14ac:dyDescent="0.55000000000000004">
      <c r="A46">
        <v>41</v>
      </c>
      <c r="B46" s="3">
        <v>43751.527777777781</v>
      </c>
      <c r="D46">
        <f>$H$3+SUM($E$6:E46)</f>
        <v>18189393.854667768</v>
      </c>
      <c r="E46">
        <f t="shared" si="0"/>
        <v>1496.833122771639</v>
      </c>
      <c r="F46">
        <v>791.82</v>
      </c>
      <c r="G46">
        <v>705.01312277163879</v>
      </c>
    </row>
    <row r="47" spans="1:7" x14ac:dyDescent="0.55000000000000004">
      <c r="A47">
        <v>42</v>
      </c>
      <c r="B47" s="3">
        <v>43751.534722222219</v>
      </c>
      <c r="D47">
        <f>$H$3+SUM($E$6:E47)</f>
        <v>18190883.187790543</v>
      </c>
      <c r="E47">
        <f t="shared" si="0"/>
        <v>1489.333122771639</v>
      </c>
      <c r="F47">
        <v>784.32</v>
      </c>
      <c r="G47">
        <v>705.01312277163879</v>
      </c>
    </row>
    <row r="48" spans="1:7" x14ac:dyDescent="0.55000000000000004">
      <c r="A48">
        <v>43</v>
      </c>
      <c r="B48" s="3">
        <v>43751.541666666664</v>
      </c>
      <c r="D48">
        <f>$H$3+SUM($E$6:E48)</f>
        <v>18192363.460913312</v>
      </c>
      <c r="E48">
        <f t="shared" si="0"/>
        <v>1480.2731227716386</v>
      </c>
      <c r="F48">
        <v>775.25999999999988</v>
      </c>
      <c r="G48">
        <v>705.01312277163879</v>
      </c>
    </row>
    <row r="49" spans="1:7" x14ac:dyDescent="0.55000000000000004">
      <c r="A49">
        <v>44</v>
      </c>
      <c r="B49" s="3">
        <v>43751.548611111109</v>
      </c>
      <c r="D49">
        <f>$H$3+SUM($E$6:E49)</f>
        <v>18193833.054036085</v>
      </c>
      <c r="E49">
        <f t="shared" si="0"/>
        <v>1469.5931227716387</v>
      </c>
      <c r="F49">
        <v>764.57999999999993</v>
      </c>
      <c r="G49">
        <v>705.01312277163879</v>
      </c>
    </row>
    <row r="50" spans="1:7" x14ac:dyDescent="0.55000000000000004">
      <c r="A50">
        <v>45</v>
      </c>
      <c r="B50" s="3">
        <v>43751.555555555555</v>
      </c>
      <c r="D50">
        <f>$H$3+SUM($E$6:E50)</f>
        <v>18195290.347158857</v>
      </c>
      <c r="E50">
        <f t="shared" si="0"/>
        <v>1457.2931227716388</v>
      </c>
      <c r="F50">
        <v>752.28</v>
      </c>
      <c r="G50">
        <v>705.01312277163879</v>
      </c>
    </row>
    <row r="51" spans="1:7" x14ac:dyDescent="0.55000000000000004">
      <c r="A51">
        <v>46</v>
      </c>
      <c r="B51" s="3">
        <v>43751.5625</v>
      </c>
      <c r="D51">
        <f>$H$3+SUM($E$6:E51)</f>
        <v>18196733.780281629</v>
      </c>
      <c r="E51">
        <f t="shared" si="0"/>
        <v>1443.4331227716389</v>
      </c>
      <c r="F51">
        <v>738.42</v>
      </c>
      <c r="G51">
        <v>705.01312277163879</v>
      </c>
    </row>
    <row r="52" spans="1:7" x14ac:dyDescent="0.55000000000000004">
      <c r="A52">
        <v>47</v>
      </c>
      <c r="B52" s="3">
        <v>43751.569444444445</v>
      </c>
      <c r="D52">
        <f>$H$3+SUM($E$6:E52)</f>
        <v>18198161.853404399</v>
      </c>
      <c r="E52">
        <f t="shared" si="0"/>
        <v>1428.0731227716387</v>
      </c>
      <c r="F52">
        <v>723.06</v>
      </c>
      <c r="G52">
        <v>705.01312277163879</v>
      </c>
    </row>
    <row r="53" spans="1:7" x14ac:dyDescent="0.55000000000000004">
      <c r="A53">
        <v>48</v>
      </c>
      <c r="B53" s="3">
        <v>43751.576388888891</v>
      </c>
      <c r="D53">
        <f>$H$3+SUM($E$6:E53)</f>
        <v>18199573.006527171</v>
      </c>
      <c r="E53">
        <f t="shared" si="0"/>
        <v>1411.1531227716387</v>
      </c>
      <c r="F53">
        <v>706.14</v>
      </c>
      <c r="G53">
        <v>705.01312277163879</v>
      </c>
    </row>
    <row r="54" spans="1:7" x14ac:dyDescent="0.55000000000000004">
      <c r="A54">
        <v>49</v>
      </c>
      <c r="B54" s="3">
        <v>43751.583333333336</v>
      </c>
      <c r="D54">
        <f>$H$3+SUM($E$6:E54)</f>
        <v>18200965.859649941</v>
      </c>
      <c r="E54">
        <f t="shared" si="0"/>
        <v>1392.8531227716389</v>
      </c>
      <c r="F54">
        <v>687.84</v>
      </c>
      <c r="G54">
        <v>705.01312277163879</v>
      </c>
    </row>
    <row r="55" spans="1:7" x14ac:dyDescent="0.55000000000000004">
      <c r="A55">
        <v>50</v>
      </c>
      <c r="B55" s="3">
        <v>43751.590277777781</v>
      </c>
      <c r="D55">
        <f>$H$3+SUM($E$6:E55)</f>
        <v>18202338.912772715</v>
      </c>
      <c r="E55">
        <f t="shared" si="0"/>
        <v>1373.0531227716388</v>
      </c>
      <c r="F55">
        <v>668.04000000000008</v>
      </c>
      <c r="G55">
        <v>705.01312277163879</v>
      </c>
    </row>
    <row r="56" spans="1:7" x14ac:dyDescent="0.55000000000000004">
      <c r="A56">
        <v>51</v>
      </c>
      <c r="B56" s="3">
        <v>43751.597222222219</v>
      </c>
      <c r="D56">
        <f>$H$3+SUM($E$6:E56)</f>
        <v>18203509.373730704</v>
      </c>
      <c r="E56">
        <f t="shared" si="0"/>
        <v>1170.4609579884186</v>
      </c>
      <c r="F56">
        <v>646.8599999999999</v>
      </c>
      <c r="G56">
        <v>523.6009579884186</v>
      </c>
    </row>
    <row r="57" spans="1:7" x14ac:dyDescent="0.55000000000000004">
      <c r="A57">
        <v>52</v>
      </c>
      <c r="B57" s="3">
        <v>43751.604166666664</v>
      </c>
      <c r="D57">
        <f>$H$3+SUM($E$6:E57)</f>
        <v>18204657.33468869</v>
      </c>
      <c r="E57">
        <f t="shared" si="0"/>
        <v>1147.9609579884186</v>
      </c>
      <c r="F57">
        <v>624.3599999999999</v>
      </c>
      <c r="G57">
        <v>523.6009579884186</v>
      </c>
    </row>
    <row r="58" spans="1:7" x14ac:dyDescent="0.55000000000000004">
      <c r="A58">
        <v>53</v>
      </c>
      <c r="B58" s="3">
        <v>43751.611111111109</v>
      </c>
      <c r="D58">
        <f>$H$3+SUM($E$6:E58)</f>
        <v>18205781.475646678</v>
      </c>
      <c r="E58">
        <f t="shared" si="0"/>
        <v>1124.1409579884184</v>
      </c>
      <c r="F58">
        <v>600.54</v>
      </c>
      <c r="G58">
        <v>523.6009579884186</v>
      </c>
    </row>
    <row r="59" spans="1:7" x14ac:dyDescent="0.55000000000000004">
      <c r="A59">
        <v>54</v>
      </c>
      <c r="B59" s="3">
        <v>43751.618055555555</v>
      </c>
      <c r="D59">
        <f>$H$3+SUM($E$6:E59)</f>
        <v>18206880.536604669</v>
      </c>
      <c r="E59">
        <f t="shared" si="0"/>
        <v>1099.0609579884185</v>
      </c>
      <c r="F59">
        <v>575.46</v>
      </c>
      <c r="G59">
        <v>523.6009579884186</v>
      </c>
    </row>
    <row r="60" spans="1:7" x14ac:dyDescent="0.55000000000000004">
      <c r="A60">
        <v>55</v>
      </c>
      <c r="B60" s="3">
        <v>43751.625</v>
      </c>
      <c r="D60">
        <f>$H$3+SUM($E$6:E60)</f>
        <v>18207953.377562657</v>
      </c>
      <c r="E60">
        <f t="shared" si="0"/>
        <v>1072.8409579884187</v>
      </c>
      <c r="F60">
        <v>549.24</v>
      </c>
      <c r="G60">
        <v>523.6009579884186</v>
      </c>
    </row>
    <row r="61" spans="1:7" x14ac:dyDescent="0.55000000000000004">
      <c r="A61">
        <v>56</v>
      </c>
      <c r="B61" s="3">
        <v>43751.631944444445</v>
      </c>
      <c r="D61">
        <f>$H$3+SUM($E$6:E61)</f>
        <v>18208998.858520646</v>
      </c>
      <c r="E61">
        <f t="shared" si="0"/>
        <v>1045.4809579884186</v>
      </c>
      <c r="F61">
        <v>521.88</v>
      </c>
      <c r="G61">
        <v>523.6009579884186</v>
      </c>
    </row>
    <row r="62" spans="1:7" x14ac:dyDescent="0.55000000000000004">
      <c r="A62">
        <v>57</v>
      </c>
      <c r="B62" s="3">
        <v>43751.638888888891</v>
      </c>
      <c r="D62">
        <f>$H$3+SUM($E$6:E62)</f>
        <v>18210015.899478633</v>
      </c>
      <c r="E62">
        <f t="shared" si="0"/>
        <v>1017.0409579884185</v>
      </c>
      <c r="F62">
        <v>493.43999999999994</v>
      </c>
      <c r="G62">
        <v>523.6009579884186</v>
      </c>
    </row>
    <row r="63" spans="1:7" x14ac:dyDescent="0.55000000000000004">
      <c r="A63">
        <v>58</v>
      </c>
      <c r="B63" s="3">
        <v>43751.645833333336</v>
      </c>
      <c r="D63">
        <f>$H$3+SUM($E$6:E63)</f>
        <v>18211003.540436622</v>
      </c>
      <c r="E63">
        <f t="shared" si="0"/>
        <v>987.64095798841856</v>
      </c>
      <c r="F63">
        <v>464.03999999999996</v>
      </c>
      <c r="G63">
        <v>523.6009579884186</v>
      </c>
    </row>
    <row r="64" spans="1:7" x14ac:dyDescent="0.55000000000000004">
      <c r="A64">
        <v>59</v>
      </c>
      <c r="B64" s="3">
        <v>43751.652777777781</v>
      </c>
      <c r="D64">
        <f>$H$3+SUM($E$6:E64)</f>
        <v>18211960.821394611</v>
      </c>
      <c r="E64">
        <f t="shared" si="0"/>
        <v>957.28095798841855</v>
      </c>
      <c r="F64">
        <v>433.67999999999995</v>
      </c>
      <c r="G64">
        <v>523.6009579884186</v>
      </c>
    </row>
    <row r="65" spans="1:7" x14ac:dyDescent="0.55000000000000004">
      <c r="A65">
        <v>60</v>
      </c>
      <c r="B65" s="3">
        <v>43751.659722222219</v>
      </c>
      <c r="D65">
        <f>$H$3+SUM($E$6:E65)</f>
        <v>18212886.902352598</v>
      </c>
      <c r="E65">
        <f t="shared" si="0"/>
        <v>926.0809579884185</v>
      </c>
      <c r="F65">
        <v>402.47999999999996</v>
      </c>
      <c r="G65">
        <v>523.6009579884186</v>
      </c>
    </row>
    <row r="66" spans="1:7" x14ac:dyDescent="0.55000000000000004">
      <c r="A66">
        <v>61</v>
      </c>
      <c r="B66" s="3">
        <v>43751.666666666664</v>
      </c>
      <c r="D66">
        <f>$H$3+SUM($E$6:E66)</f>
        <v>18213781.003310587</v>
      </c>
      <c r="E66">
        <f t="shared" si="0"/>
        <v>894.1009579884186</v>
      </c>
      <c r="F66">
        <v>370.5</v>
      </c>
      <c r="G66">
        <v>523.6009579884186</v>
      </c>
    </row>
    <row r="67" spans="1:7" x14ac:dyDescent="0.55000000000000004">
      <c r="A67">
        <v>62</v>
      </c>
      <c r="B67" s="3">
        <v>43751.673611111109</v>
      </c>
      <c r="D67">
        <f>$H$3+SUM($E$6:E67)</f>
        <v>18214642.524268575</v>
      </c>
      <c r="E67">
        <f t="shared" si="0"/>
        <v>861.52095798841856</v>
      </c>
      <c r="F67">
        <v>337.92</v>
      </c>
      <c r="G67">
        <v>523.6009579884186</v>
      </c>
    </row>
    <row r="68" spans="1:7" x14ac:dyDescent="0.55000000000000004">
      <c r="A68">
        <v>63</v>
      </c>
      <c r="B68" s="3">
        <v>43751.680555555555</v>
      </c>
      <c r="D68">
        <f>$H$3+SUM($E$6:E68)</f>
        <v>18215470.865226563</v>
      </c>
      <c r="E68">
        <f t="shared" si="0"/>
        <v>828.3409579884185</v>
      </c>
      <c r="F68">
        <v>304.73999999999995</v>
      </c>
      <c r="G68">
        <v>523.6009579884186</v>
      </c>
    </row>
    <row r="69" spans="1:7" x14ac:dyDescent="0.55000000000000004">
      <c r="A69">
        <v>64</v>
      </c>
      <c r="B69" s="3">
        <v>43751.6875</v>
      </c>
      <c r="D69">
        <f>$H$3+SUM($E$6:E69)</f>
        <v>18216265.666184552</v>
      </c>
      <c r="E69">
        <f t="shared" si="0"/>
        <v>794.80095798841853</v>
      </c>
      <c r="F69">
        <v>271.2</v>
      </c>
      <c r="G69">
        <v>523.6009579884186</v>
      </c>
    </row>
    <row r="70" spans="1:7" x14ac:dyDescent="0.55000000000000004">
      <c r="A70">
        <v>65</v>
      </c>
      <c r="B70" s="3">
        <v>43751.694444444445</v>
      </c>
      <c r="D70">
        <f>$H$3+SUM($E$6:E70)</f>
        <v>18217026.567142539</v>
      </c>
      <c r="E70">
        <f t="shared" si="0"/>
        <v>760.90095798841855</v>
      </c>
      <c r="F70">
        <v>237.29999999999998</v>
      </c>
      <c r="G70">
        <v>523.6009579884186</v>
      </c>
    </row>
    <row r="71" spans="1:7" x14ac:dyDescent="0.55000000000000004">
      <c r="A71">
        <v>66</v>
      </c>
      <c r="B71" s="3">
        <v>43751.701388888891</v>
      </c>
      <c r="D71">
        <f>$H$3+SUM($E$6:E71)</f>
        <v>18217753.568100531</v>
      </c>
      <c r="E71">
        <f t="shared" ref="E71:E84" si="1">F71+G71</f>
        <v>727.00095798841858</v>
      </c>
      <c r="F71">
        <v>203.4</v>
      </c>
      <c r="G71">
        <v>523.6009579884186</v>
      </c>
    </row>
    <row r="72" spans="1:7" x14ac:dyDescent="0.55000000000000004">
      <c r="A72">
        <v>67</v>
      </c>
      <c r="B72" s="3">
        <v>43751.708333333336</v>
      </c>
      <c r="D72">
        <f>$H$3+SUM($E$6:E72)</f>
        <v>18218446.789058518</v>
      </c>
      <c r="E72">
        <f t="shared" si="1"/>
        <v>693.2209579884186</v>
      </c>
      <c r="F72">
        <v>169.61999999999998</v>
      </c>
      <c r="G72">
        <v>523.6009579884186</v>
      </c>
    </row>
    <row r="73" spans="1:7" x14ac:dyDescent="0.55000000000000004">
      <c r="A73">
        <v>68</v>
      </c>
      <c r="B73" s="3">
        <v>43751.715277777781</v>
      </c>
      <c r="D73">
        <f>$H$3+SUM($E$6:E73)</f>
        <v>18218583.049058516</v>
      </c>
      <c r="E73">
        <f t="shared" si="1"/>
        <v>136.26</v>
      </c>
      <c r="F73">
        <v>136.26</v>
      </c>
      <c r="G73">
        <v>0</v>
      </c>
    </row>
    <row r="74" spans="1:7" x14ac:dyDescent="0.55000000000000004">
      <c r="A74">
        <v>69</v>
      </c>
      <c r="B74" s="3">
        <v>43751.722222222219</v>
      </c>
      <c r="D74">
        <f>$H$3+SUM($E$6:E74)</f>
        <v>18218686.969058517</v>
      </c>
      <c r="E74">
        <f t="shared" si="1"/>
        <v>103.91999999999999</v>
      </c>
      <c r="F74">
        <v>103.91999999999999</v>
      </c>
      <c r="G74">
        <v>0</v>
      </c>
    </row>
    <row r="75" spans="1:7" x14ac:dyDescent="0.55000000000000004">
      <c r="A75">
        <v>70</v>
      </c>
      <c r="B75" s="3">
        <v>43751.729166666664</v>
      </c>
      <c r="D75">
        <f>$H$3+SUM($E$6:E75)</f>
        <v>18218760.109058518</v>
      </c>
      <c r="E75">
        <f t="shared" si="1"/>
        <v>73.14</v>
      </c>
      <c r="F75">
        <v>73.14</v>
      </c>
      <c r="G75">
        <v>0</v>
      </c>
    </row>
    <row r="76" spans="1:7" x14ac:dyDescent="0.55000000000000004">
      <c r="A76">
        <v>71</v>
      </c>
      <c r="B76" s="3">
        <v>43751.736111111109</v>
      </c>
      <c r="D76">
        <f>$H$3+SUM($E$6:E76)</f>
        <v>18218805.169058517</v>
      </c>
      <c r="E76">
        <f t="shared" si="1"/>
        <v>45.059999999999995</v>
      </c>
      <c r="F76">
        <v>45.059999999999995</v>
      </c>
      <c r="G76">
        <v>0</v>
      </c>
    </row>
    <row r="77" spans="1:7" x14ac:dyDescent="0.55000000000000004">
      <c r="A77">
        <v>72</v>
      </c>
      <c r="B77" s="3">
        <v>43751.743055555555</v>
      </c>
      <c r="D77">
        <f>$H$3+SUM($E$6:E77)</f>
        <v>18218826.769058518</v>
      </c>
      <c r="E77">
        <f t="shared" si="1"/>
        <v>21.599999999999998</v>
      </c>
      <c r="F77">
        <v>21.599999999999998</v>
      </c>
      <c r="G77">
        <v>0</v>
      </c>
    </row>
    <row r="78" spans="1:7" x14ac:dyDescent="0.55000000000000004">
      <c r="A78">
        <v>73</v>
      </c>
      <c r="B78" s="3">
        <v>43751.75</v>
      </c>
      <c r="D78">
        <f>$H$3+SUM($E$6:E78)</f>
        <v>18218832.649058517</v>
      </c>
      <c r="E78">
        <f t="shared" si="1"/>
        <v>5.88</v>
      </c>
      <c r="F78">
        <v>5.88</v>
      </c>
      <c r="G78">
        <v>0</v>
      </c>
    </row>
  </sheetData>
  <mergeCells count="1">
    <mergeCell ref="F3:G3"/>
  </mergeCells>
  <phoneticPr fontId="1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3FD0A1-9291-4E12-AD5F-359D8E381B07}">
  <sheetPr codeName="Sheet2"/>
  <dimension ref="A1:O874"/>
  <sheetViews>
    <sheetView zoomScale="70" zoomScaleNormal="70" workbookViewId="0">
      <selection activeCell="I11" sqref="I11"/>
    </sheetView>
  </sheetViews>
  <sheetFormatPr defaultRowHeight="18" x14ac:dyDescent="0.55000000000000004"/>
  <cols>
    <col min="2" max="2" width="16.1640625" customWidth="1"/>
    <col min="3" max="3" width="17" bestFit="1" customWidth="1"/>
    <col min="4" max="4" width="15.83203125" bestFit="1" customWidth="1"/>
    <col min="5" max="5" width="12.1640625" customWidth="1"/>
    <col min="6" max="6" width="15.33203125" customWidth="1"/>
    <col min="7" max="7" width="13.6640625" customWidth="1"/>
    <col min="8" max="8" width="11.1640625" customWidth="1"/>
    <col min="10" max="10" width="10.58203125" customWidth="1"/>
    <col min="11" max="11" width="14.58203125" customWidth="1"/>
    <col min="12" max="12" width="10.9140625" customWidth="1"/>
  </cols>
  <sheetData>
    <row r="1" spans="1:15" x14ac:dyDescent="0.55000000000000004">
      <c r="A1" t="s">
        <v>1</v>
      </c>
      <c r="B1" t="s">
        <v>25</v>
      </c>
    </row>
    <row r="2" spans="1:15" x14ac:dyDescent="0.55000000000000004">
      <c r="A2" s="2" t="s">
        <v>2</v>
      </c>
      <c r="B2" s="1" t="s">
        <v>3</v>
      </c>
      <c r="C2" s="2" t="s">
        <v>2</v>
      </c>
      <c r="D2" s="1" t="s">
        <v>4</v>
      </c>
      <c r="E2" s="2" t="s">
        <v>2</v>
      </c>
      <c r="F2" s="1" t="s">
        <v>3</v>
      </c>
      <c r="G2" s="2" t="s">
        <v>2</v>
      </c>
      <c r="H2" s="1" t="s">
        <v>4</v>
      </c>
    </row>
    <row r="3" spans="1:15" x14ac:dyDescent="0.55000000000000004">
      <c r="A3" s="1" t="s">
        <v>5</v>
      </c>
      <c r="B3" s="1" t="s">
        <v>0</v>
      </c>
      <c r="C3" s="1" t="s">
        <v>5</v>
      </c>
      <c r="D3" s="1" t="s">
        <v>0</v>
      </c>
      <c r="E3" s="1" t="s">
        <v>5</v>
      </c>
      <c r="F3" s="1" t="s">
        <v>0</v>
      </c>
      <c r="G3" s="1" t="s">
        <v>5</v>
      </c>
      <c r="H3" s="1" t="s">
        <v>0</v>
      </c>
    </row>
    <row r="4" spans="1:15" x14ac:dyDescent="0.55000000000000004">
      <c r="A4" s="1"/>
      <c r="B4" s="1"/>
      <c r="C4" s="1"/>
      <c r="D4" s="1"/>
      <c r="E4" s="1"/>
      <c r="F4" s="1"/>
      <c r="G4" s="1"/>
      <c r="H4" s="1"/>
      <c r="K4" s="12" t="s">
        <v>23</v>
      </c>
      <c r="L4" s="12"/>
      <c r="M4" s="12"/>
      <c r="N4" s="12"/>
      <c r="O4" s="12"/>
    </row>
    <row r="5" spans="1:15" x14ac:dyDescent="0.55000000000000004">
      <c r="A5" t="s">
        <v>7</v>
      </c>
      <c r="B5" s="3" t="s">
        <v>8</v>
      </c>
      <c r="C5" t="s">
        <v>16</v>
      </c>
      <c r="D5" t="s">
        <v>11</v>
      </c>
      <c r="E5" t="s">
        <v>12</v>
      </c>
      <c r="F5" t="s">
        <v>13</v>
      </c>
      <c r="G5" t="s">
        <v>14</v>
      </c>
      <c r="K5" t="s">
        <v>24</v>
      </c>
      <c r="L5" t="s">
        <v>16</v>
      </c>
      <c r="M5" t="s">
        <v>20</v>
      </c>
      <c r="N5" t="s">
        <v>21</v>
      </c>
      <c r="O5" t="s">
        <v>22</v>
      </c>
    </row>
    <row r="6" spans="1:15" x14ac:dyDescent="0.55000000000000004">
      <c r="B6" s="3">
        <v>43751.25</v>
      </c>
      <c r="C6">
        <v>4999.9986388888892</v>
      </c>
      <c r="D6">
        <v>17999995.100000001</v>
      </c>
      <c r="E6">
        <v>4.9000000000000004</v>
      </c>
      <c r="F6">
        <v>4.9000000000000004</v>
      </c>
      <c r="G6" s="6">
        <v>0</v>
      </c>
      <c r="K6" s="3">
        <v>43751.25</v>
      </c>
      <c r="L6">
        <f>C6/1000</f>
        <v>4.9999986388888891</v>
      </c>
      <c r="M6">
        <v>4.9000000000000004</v>
      </c>
      <c r="N6">
        <v>4.9000000000000004</v>
      </c>
      <c r="O6">
        <v>0</v>
      </c>
    </row>
    <row r="7" spans="1:15" x14ac:dyDescent="0.55000000000000004">
      <c r="B7" s="3">
        <v>43751.256944444445</v>
      </c>
      <c r="C7">
        <v>4999.9949999999999</v>
      </c>
      <c r="D7">
        <v>17999982</v>
      </c>
      <c r="E7">
        <v>18</v>
      </c>
      <c r="F7">
        <v>18</v>
      </c>
      <c r="G7" s="6">
        <v>0</v>
      </c>
      <c r="K7" s="3">
        <v>43751.256944444445</v>
      </c>
      <c r="L7">
        <f t="shared" ref="L7:L70" si="0">C7/1000</f>
        <v>4.9999950000000002</v>
      </c>
      <c r="M7">
        <v>18</v>
      </c>
      <c r="N7">
        <v>18</v>
      </c>
      <c r="O7">
        <v>0</v>
      </c>
    </row>
    <row r="8" spans="1:15" x14ac:dyDescent="0.55000000000000004">
      <c r="B8" s="3">
        <v>43751.263888888891</v>
      </c>
      <c r="C8">
        <v>4999.989569444444</v>
      </c>
      <c r="D8">
        <v>17999962.449999999</v>
      </c>
      <c r="E8">
        <v>37.549999999999997</v>
      </c>
      <c r="F8">
        <v>37.549999999999997</v>
      </c>
      <c r="G8" s="6">
        <v>0</v>
      </c>
      <c r="K8" s="3">
        <v>43751.263888888891</v>
      </c>
      <c r="L8">
        <f t="shared" si="0"/>
        <v>4.9999895694444438</v>
      </c>
      <c r="M8">
        <v>37.549999999999997</v>
      </c>
      <c r="N8">
        <v>37.549999999999997</v>
      </c>
      <c r="O8">
        <v>0</v>
      </c>
    </row>
    <row r="9" spans="1:15" x14ac:dyDescent="0.55000000000000004">
      <c r="B9" s="3">
        <v>43751.270833333336</v>
      </c>
      <c r="C9">
        <v>4999.9830833333335</v>
      </c>
      <c r="D9">
        <v>17999939.100000001</v>
      </c>
      <c r="E9">
        <v>60.9</v>
      </c>
      <c r="F9">
        <v>60.9</v>
      </c>
      <c r="G9" s="6">
        <v>0</v>
      </c>
      <c r="K9" s="3">
        <v>43751.270833333336</v>
      </c>
      <c r="L9">
        <f t="shared" si="0"/>
        <v>4.9999830833333334</v>
      </c>
      <c r="M9">
        <v>60.9</v>
      </c>
      <c r="N9">
        <v>60.9</v>
      </c>
      <c r="O9">
        <v>0</v>
      </c>
    </row>
    <row r="10" spans="1:15" x14ac:dyDescent="0.55000000000000004">
      <c r="B10" s="3">
        <v>43751.277777777781</v>
      </c>
      <c r="C10">
        <v>4999.9759583333334</v>
      </c>
      <c r="D10">
        <v>17999913.449999999</v>
      </c>
      <c r="E10">
        <v>86.55</v>
      </c>
      <c r="F10">
        <v>86.55</v>
      </c>
      <c r="G10" s="6">
        <v>0</v>
      </c>
      <c r="K10" s="3">
        <v>43751.277777777781</v>
      </c>
      <c r="L10">
        <f t="shared" si="0"/>
        <v>4.9999759583333336</v>
      </c>
      <c r="M10">
        <v>86.55</v>
      </c>
      <c r="N10">
        <v>86.55</v>
      </c>
      <c r="O10">
        <v>0</v>
      </c>
    </row>
    <row r="11" spans="1:15" x14ac:dyDescent="0.55000000000000004">
      <c r="B11" s="3">
        <v>43751.284722222219</v>
      </c>
      <c r="C11">
        <v>4999.9684583333328</v>
      </c>
      <c r="D11">
        <v>17999886.449999999</v>
      </c>
      <c r="E11">
        <v>113.55</v>
      </c>
      <c r="F11">
        <v>113.55</v>
      </c>
      <c r="G11" s="6">
        <v>0</v>
      </c>
      <c r="K11" s="3">
        <v>43751.284722222219</v>
      </c>
      <c r="L11">
        <f t="shared" si="0"/>
        <v>4.999968458333333</v>
      </c>
      <c r="M11">
        <v>113.55</v>
      </c>
      <c r="N11">
        <v>113.55</v>
      </c>
      <c r="O11">
        <v>0</v>
      </c>
    </row>
    <row r="12" spans="1:15" x14ac:dyDescent="0.55000000000000004">
      <c r="B12" s="3">
        <v>43751.291666666664</v>
      </c>
      <c r="C12">
        <v>4999.9607500000002</v>
      </c>
      <c r="D12">
        <v>17999858.699999999</v>
      </c>
      <c r="E12">
        <v>141.30000000000001</v>
      </c>
      <c r="F12">
        <v>141.30000000000001</v>
      </c>
      <c r="G12" s="6">
        <v>0</v>
      </c>
      <c r="K12" s="3">
        <v>43751.291666666664</v>
      </c>
      <c r="L12">
        <f t="shared" si="0"/>
        <v>4.9999607500000005</v>
      </c>
      <c r="M12">
        <v>141.30000000000001</v>
      </c>
      <c r="N12">
        <v>141.30000000000001</v>
      </c>
      <c r="O12">
        <v>0</v>
      </c>
    </row>
    <row r="13" spans="1:15" x14ac:dyDescent="0.55000000000000004">
      <c r="B13" s="3">
        <v>43751.298611111109</v>
      </c>
      <c r="C13">
        <v>4999.9529305555561</v>
      </c>
      <c r="D13">
        <v>17999830.550000001</v>
      </c>
      <c r="E13">
        <v>169.45</v>
      </c>
      <c r="F13">
        <v>169.45</v>
      </c>
      <c r="G13" s="6">
        <v>0</v>
      </c>
      <c r="K13" s="3">
        <v>43751.298611111109</v>
      </c>
      <c r="L13">
        <f t="shared" si="0"/>
        <v>4.9999529305555566</v>
      </c>
      <c r="M13">
        <v>169.45</v>
      </c>
      <c r="N13">
        <v>169.45</v>
      </c>
      <c r="O13">
        <v>0</v>
      </c>
    </row>
    <row r="14" spans="1:15" x14ac:dyDescent="0.55000000000000004">
      <c r="B14" s="3">
        <v>43751.305555555555</v>
      </c>
      <c r="C14">
        <v>4999.945069444444</v>
      </c>
      <c r="D14">
        <v>17999802.25</v>
      </c>
      <c r="E14">
        <v>197.75</v>
      </c>
      <c r="F14">
        <v>197.75</v>
      </c>
      <c r="G14" s="6">
        <v>0</v>
      </c>
      <c r="K14" s="3">
        <v>43751.305555555555</v>
      </c>
      <c r="L14">
        <f t="shared" si="0"/>
        <v>4.9999450694444443</v>
      </c>
      <c r="M14">
        <v>197.75</v>
      </c>
      <c r="N14">
        <v>197.75</v>
      </c>
      <c r="O14">
        <v>0</v>
      </c>
    </row>
    <row r="15" spans="1:15" x14ac:dyDescent="0.55000000000000004">
      <c r="B15" s="3">
        <v>43751.3125</v>
      </c>
      <c r="C15">
        <v>4999.9372361111109</v>
      </c>
      <c r="D15">
        <v>17999774.050000001</v>
      </c>
      <c r="E15">
        <v>225.95</v>
      </c>
      <c r="F15">
        <v>225.95</v>
      </c>
      <c r="G15" s="6">
        <v>0</v>
      </c>
      <c r="K15" s="3">
        <v>43751.3125</v>
      </c>
      <c r="L15">
        <f t="shared" si="0"/>
        <v>4.9999372361111112</v>
      </c>
      <c r="M15">
        <v>225.95</v>
      </c>
      <c r="N15">
        <v>225.95</v>
      </c>
      <c r="O15">
        <v>0</v>
      </c>
    </row>
    <row r="16" spans="1:15" x14ac:dyDescent="0.55000000000000004">
      <c r="B16" s="3">
        <v>43751.319444444445</v>
      </c>
      <c r="C16">
        <v>4999.929458333334</v>
      </c>
      <c r="D16">
        <v>17999746.050000001</v>
      </c>
      <c r="E16">
        <v>253.95</v>
      </c>
      <c r="F16">
        <v>253.95</v>
      </c>
      <c r="G16" s="6">
        <v>0</v>
      </c>
      <c r="K16" s="3">
        <v>43751.319444444445</v>
      </c>
      <c r="L16">
        <f t="shared" si="0"/>
        <v>4.9999294583333338</v>
      </c>
      <c r="M16">
        <v>253.95</v>
      </c>
      <c r="N16">
        <v>253.95</v>
      </c>
      <c r="O16">
        <v>0</v>
      </c>
    </row>
    <row r="17" spans="2:15" x14ac:dyDescent="0.55000000000000004">
      <c r="B17" s="3">
        <v>43751.326388888891</v>
      </c>
      <c r="C17">
        <v>4999.9217916666666</v>
      </c>
      <c r="D17">
        <v>17999718.449999999</v>
      </c>
      <c r="E17">
        <v>281.55</v>
      </c>
      <c r="F17">
        <v>281.55</v>
      </c>
      <c r="G17" s="6">
        <v>0</v>
      </c>
      <c r="K17" s="3">
        <v>43751.326388888891</v>
      </c>
      <c r="L17">
        <f t="shared" si="0"/>
        <v>4.9999217916666669</v>
      </c>
      <c r="M17">
        <v>281.55</v>
      </c>
      <c r="N17">
        <v>281.55</v>
      </c>
      <c r="O17">
        <v>0</v>
      </c>
    </row>
    <row r="18" spans="2:15" x14ac:dyDescent="0.55000000000000004">
      <c r="B18" s="3">
        <v>43751.333333333336</v>
      </c>
      <c r="C18">
        <v>5000.1100730896587</v>
      </c>
      <c r="D18">
        <v>18000396.263122771</v>
      </c>
      <c r="E18">
        <v>-396.26312277163879</v>
      </c>
      <c r="F18">
        <v>308.75</v>
      </c>
      <c r="G18" s="6">
        <v>-705.01312277163879</v>
      </c>
      <c r="K18" s="3">
        <v>43751.333333333336</v>
      </c>
      <c r="L18">
        <f t="shared" si="0"/>
        <v>5.000110073089659</v>
      </c>
      <c r="M18">
        <v>-396.26312277163879</v>
      </c>
      <c r="N18">
        <v>308.75</v>
      </c>
      <c r="O18">
        <v>-705.01312277163879</v>
      </c>
    </row>
    <row r="19" spans="2:15" x14ac:dyDescent="0.55000000000000004">
      <c r="B19" s="3">
        <v>43751.340277777781</v>
      </c>
      <c r="C19">
        <v>5000.1026842007705</v>
      </c>
      <c r="D19">
        <v>18000369.663122773</v>
      </c>
      <c r="E19">
        <v>-369.66312277163877</v>
      </c>
      <c r="F19">
        <v>335.35</v>
      </c>
      <c r="G19" s="6">
        <v>-705.01312277163879</v>
      </c>
      <c r="K19" s="3">
        <v>43751.340277777781</v>
      </c>
      <c r="L19">
        <f t="shared" si="0"/>
        <v>5.0001026842007708</v>
      </c>
      <c r="M19">
        <v>-369.66312277163877</v>
      </c>
      <c r="N19">
        <v>335.35</v>
      </c>
      <c r="O19">
        <v>-705.01312277163879</v>
      </c>
    </row>
    <row r="20" spans="2:15" x14ac:dyDescent="0.55000000000000004">
      <c r="B20" s="3">
        <v>43751.347222222219</v>
      </c>
      <c r="C20">
        <v>5000.095461978548</v>
      </c>
      <c r="D20">
        <v>18000343.663122773</v>
      </c>
      <c r="E20">
        <v>-343.66312277163877</v>
      </c>
      <c r="F20">
        <v>361.35</v>
      </c>
      <c r="G20" s="6">
        <v>-705.01312277163879</v>
      </c>
      <c r="K20" s="3">
        <v>43751.347222222219</v>
      </c>
      <c r="L20">
        <f t="shared" si="0"/>
        <v>5.0000954619785478</v>
      </c>
      <c r="M20">
        <v>-343.66312277163877</v>
      </c>
      <c r="N20">
        <v>361.35</v>
      </c>
      <c r="O20">
        <v>-705.01312277163879</v>
      </c>
    </row>
    <row r="21" spans="2:15" x14ac:dyDescent="0.55000000000000004">
      <c r="B21" s="3">
        <v>43751.354166666664</v>
      </c>
      <c r="C21">
        <v>5000.0884342007703</v>
      </c>
      <c r="D21">
        <v>18000318.363122772</v>
      </c>
      <c r="E21">
        <v>-318.36312277163881</v>
      </c>
      <c r="F21">
        <v>386.65</v>
      </c>
      <c r="G21" s="6">
        <v>-705.01312277163879</v>
      </c>
      <c r="K21" s="3">
        <v>43751.354166666664</v>
      </c>
      <c r="L21">
        <f t="shared" si="0"/>
        <v>5.0000884342007703</v>
      </c>
      <c r="M21">
        <v>-318.36312277163881</v>
      </c>
      <c r="N21">
        <v>386.65</v>
      </c>
      <c r="O21">
        <v>-705.01312277163879</v>
      </c>
    </row>
    <row r="22" spans="2:15" x14ac:dyDescent="0.55000000000000004">
      <c r="B22" s="3">
        <v>43751.361111111109</v>
      </c>
      <c r="C22">
        <v>5000.0816147563255</v>
      </c>
      <c r="D22">
        <v>18000293.813122772</v>
      </c>
      <c r="E22">
        <v>-293.8131227716388</v>
      </c>
      <c r="F22">
        <v>411.2</v>
      </c>
      <c r="G22" s="6">
        <v>-705.01312277163879</v>
      </c>
      <c r="K22" s="3">
        <v>43751.361111111109</v>
      </c>
      <c r="L22">
        <f t="shared" si="0"/>
        <v>5.0000816147563256</v>
      </c>
      <c r="M22">
        <v>-293.8131227716388</v>
      </c>
      <c r="N22">
        <v>411.2</v>
      </c>
      <c r="O22">
        <v>-705.01312277163879</v>
      </c>
    </row>
    <row r="23" spans="2:15" x14ac:dyDescent="0.55000000000000004">
      <c r="B23" s="3">
        <v>43751.368055555555</v>
      </c>
      <c r="C23">
        <v>5000.0750314229927</v>
      </c>
      <c r="D23">
        <v>18000270.113122772</v>
      </c>
      <c r="E23">
        <v>-270.11312277163881</v>
      </c>
      <c r="F23">
        <v>434.9</v>
      </c>
      <c r="G23" s="6">
        <v>-705.01312277163879</v>
      </c>
      <c r="K23" s="3">
        <v>43751.368055555555</v>
      </c>
      <c r="L23">
        <f t="shared" si="0"/>
        <v>5.0000750314229929</v>
      </c>
      <c r="M23">
        <v>-270.11312277163881</v>
      </c>
      <c r="N23">
        <v>434.9</v>
      </c>
      <c r="O23">
        <v>-705.01312277163879</v>
      </c>
    </row>
    <row r="24" spans="2:15" x14ac:dyDescent="0.55000000000000004">
      <c r="B24" s="3">
        <v>43751.375</v>
      </c>
      <c r="C24">
        <v>5000.0686980896589</v>
      </c>
      <c r="D24">
        <v>18000247.313122772</v>
      </c>
      <c r="E24">
        <v>-247.3131227716388</v>
      </c>
      <c r="F24">
        <v>457.7</v>
      </c>
      <c r="G24" s="6">
        <v>-705.01312277163879</v>
      </c>
      <c r="K24" s="3">
        <v>43751.375</v>
      </c>
      <c r="L24">
        <f t="shared" si="0"/>
        <v>5.0000686980896587</v>
      </c>
      <c r="M24">
        <v>-247.3131227716388</v>
      </c>
      <c r="N24">
        <v>457.7</v>
      </c>
      <c r="O24">
        <v>-705.01312277163879</v>
      </c>
    </row>
    <row r="25" spans="2:15" x14ac:dyDescent="0.55000000000000004">
      <c r="B25" s="3">
        <v>43751.381944444445</v>
      </c>
      <c r="C25">
        <v>5000.0626286452143</v>
      </c>
      <c r="D25">
        <v>18000225.46312277</v>
      </c>
      <c r="E25">
        <v>-225.46312277163878</v>
      </c>
      <c r="F25">
        <v>479.55</v>
      </c>
      <c r="G25" s="6">
        <v>-705.01312277163879</v>
      </c>
      <c r="K25" s="3">
        <v>43751.381944444445</v>
      </c>
      <c r="L25">
        <f t="shared" si="0"/>
        <v>5.0000626286452139</v>
      </c>
      <c r="M25">
        <v>-225.46312277163878</v>
      </c>
      <c r="N25">
        <v>479.55</v>
      </c>
      <c r="O25">
        <v>-705.01312277163879</v>
      </c>
    </row>
    <row r="26" spans="2:15" x14ac:dyDescent="0.55000000000000004">
      <c r="B26" s="3">
        <v>43751.388888888891</v>
      </c>
      <c r="C26">
        <v>5000.0568230896588</v>
      </c>
      <c r="D26">
        <v>18000204.563122772</v>
      </c>
      <c r="E26">
        <v>-204.5631227716388</v>
      </c>
      <c r="F26">
        <v>500.45</v>
      </c>
      <c r="G26" s="6">
        <v>-705.01312277163879</v>
      </c>
      <c r="K26" s="3">
        <v>43751.388888888891</v>
      </c>
      <c r="L26">
        <f t="shared" si="0"/>
        <v>5.0000568230896585</v>
      </c>
      <c r="M26">
        <v>-204.5631227716388</v>
      </c>
      <c r="N26">
        <v>500.45</v>
      </c>
      <c r="O26">
        <v>-705.01312277163879</v>
      </c>
    </row>
    <row r="27" spans="2:15" x14ac:dyDescent="0.55000000000000004">
      <c r="B27" s="3">
        <v>43751.395833333336</v>
      </c>
      <c r="C27">
        <v>5000.0513230896586</v>
      </c>
      <c r="D27">
        <v>18000184.763122771</v>
      </c>
      <c r="E27">
        <v>-184.76312277163879</v>
      </c>
      <c r="F27">
        <v>520.25</v>
      </c>
      <c r="G27" s="6">
        <v>-705.01312277163879</v>
      </c>
      <c r="K27" s="3">
        <v>43751.395833333336</v>
      </c>
      <c r="L27">
        <f t="shared" si="0"/>
        <v>5.0000513230896582</v>
      </c>
      <c r="M27">
        <v>-184.76312277163879</v>
      </c>
      <c r="N27">
        <v>520.25</v>
      </c>
      <c r="O27">
        <v>-705.01312277163879</v>
      </c>
    </row>
    <row r="28" spans="2:15" x14ac:dyDescent="0.55000000000000004">
      <c r="B28" s="3">
        <v>43751.402777777781</v>
      </c>
      <c r="C28">
        <v>5000.0461008674365</v>
      </c>
      <c r="D28">
        <v>18000165.96312277</v>
      </c>
      <c r="E28">
        <v>-165.96312277163884</v>
      </c>
      <c r="F28">
        <v>539.04999999999995</v>
      </c>
      <c r="G28" s="6">
        <v>-705.01312277163879</v>
      </c>
      <c r="K28" s="3">
        <v>43751.402777777781</v>
      </c>
      <c r="L28">
        <f t="shared" si="0"/>
        <v>5.0000461008674364</v>
      </c>
      <c r="M28">
        <v>-165.96312277163884</v>
      </c>
      <c r="N28">
        <v>539.04999999999995</v>
      </c>
      <c r="O28">
        <v>-705.01312277163879</v>
      </c>
    </row>
    <row r="29" spans="2:15" x14ac:dyDescent="0.55000000000000004">
      <c r="B29" s="3">
        <v>43751.409722222219</v>
      </c>
      <c r="C29">
        <v>5000.0411980896588</v>
      </c>
      <c r="D29">
        <v>18000148.313122772</v>
      </c>
      <c r="E29">
        <v>-148.31312277163875</v>
      </c>
      <c r="F29">
        <v>556.70000000000005</v>
      </c>
      <c r="G29" s="6">
        <v>-705.01312277163879</v>
      </c>
      <c r="K29" s="3">
        <v>43751.409722222219</v>
      </c>
      <c r="L29">
        <f t="shared" si="0"/>
        <v>5.0000411980896589</v>
      </c>
      <c r="M29">
        <v>-148.31312277163875</v>
      </c>
      <c r="N29">
        <v>556.70000000000005</v>
      </c>
      <c r="O29">
        <v>-705.01312277163879</v>
      </c>
    </row>
    <row r="30" spans="2:15" x14ac:dyDescent="0.55000000000000004">
      <c r="B30" s="3">
        <v>43751.416666666664</v>
      </c>
      <c r="C30">
        <v>5000.0366286452145</v>
      </c>
      <c r="D30">
        <v>18000131.863122772</v>
      </c>
      <c r="E30">
        <v>-131.86312277163881</v>
      </c>
      <c r="F30">
        <v>573.15</v>
      </c>
      <c r="G30" s="6">
        <v>-705.01312277163879</v>
      </c>
      <c r="K30" s="3">
        <v>43751.416666666664</v>
      </c>
      <c r="L30">
        <f t="shared" si="0"/>
        <v>5.0000366286452147</v>
      </c>
      <c r="M30">
        <v>-131.86312277163881</v>
      </c>
      <c r="N30">
        <v>573.15</v>
      </c>
      <c r="O30">
        <v>-705.01312277163879</v>
      </c>
    </row>
    <row r="31" spans="2:15" x14ac:dyDescent="0.55000000000000004">
      <c r="B31" s="3">
        <v>43751.423611111109</v>
      </c>
      <c r="C31">
        <v>5000.0323786452145</v>
      </c>
      <c r="D31">
        <v>18000116.563122772</v>
      </c>
      <c r="E31">
        <v>-116.56312277163875</v>
      </c>
      <c r="F31">
        <v>588.45000000000005</v>
      </c>
      <c r="G31" s="6">
        <v>-705.01312277163879</v>
      </c>
      <c r="K31" s="3">
        <v>43751.423611111109</v>
      </c>
      <c r="L31">
        <f t="shared" si="0"/>
        <v>5.0000323786452148</v>
      </c>
      <c r="M31">
        <v>-116.56312277163875</v>
      </c>
      <c r="N31">
        <v>588.45000000000005</v>
      </c>
      <c r="O31">
        <v>-705.01312277163879</v>
      </c>
    </row>
    <row r="32" spans="2:15" x14ac:dyDescent="0.55000000000000004">
      <c r="B32" s="3">
        <v>43751.430555555555</v>
      </c>
      <c r="C32">
        <v>5000.0284758674361</v>
      </c>
      <c r="D32">
        <v>18000102.513122771</v>
      </c>
      <c r="E32">
        <v>-102.51312277163879</v>
      </c>
      <c r="F32">
        <v>602.5</v>
      </c>
      <c r="G32" s="6">
        <v>-705.01312277163879</v>
      </c>
      <c r="K32" s="3">
        <v>43751.430555555555</v>
      </c>
      <c r="L32">
        <f t="shared" si="0"/>
        <v>5.0000284758674365</v>
      </c>
      <c r="M32">
        <v>-102.51312277163879</v>
      </c>
      <c r="N32">
        <v>602.5</v>
      </c>
      <c r="O32">
        <v>-705.01312277163879</v>
      </c>
    </row>
    <row r="33" spans="2:15" x14ac:dyDescent="0.55000000000000004">
      <c r="B33" s="3">
        <v>43751.4375</v>
      </c>
      <c r="C33">
        <v>5000.0249064229929</v>
      </c>
      <c r="D33">
        <v>18000089.663122773</v>
      </c>
      <c r="E33">
        <v>-89.663122771638768</v>
      </c>
      <c r="F33">
        <v>615.35</v>
      </c>
      <c r="G33" s="6">
        <v>-705.01312277163879</v>
      </c>
      <c r="K33" s="3">
        <v>43751.4375</v>
      </c>
      <c r="L33">
        <f t="shared" si="0"/>
        <v>5.0000249064229925</v>
      </c>
      <c r="M33">
        <v>-89.663122771638768</v>
      </c>
      <c r="N33">
        <v>615.35</v>
      </c>
      <c r="O33">
        <v>-705.01312277163879</v>
      </c>
    </row>
    <row r="34" spans="2:15" x14ac:dyDescent="0.55000000000000004">
      <c r="B34" s="3">
        <v>43751.444444444445</v>
      </c>
      <c r="C34">
        <v>5000.0216980896594</v>
      </c>
      <c r="D34">
        <v>18000078.113122772</v>
      </c>
      <c r="E34">
        <v>-78.113122771638814</v>
      </c>
      <c r="F34">
        <v>626.9</v>
      </c>
      <c r="G34" s="6">
        <v>-705.01312277163879</v>
      </c>
      <c r="K34" s="3">
        <v>43751.444444444445</v>
      </c>
      <c r="L34">
        <f t="shared" si="0"/>
        <v>5.0000216980896592</v>
      </c>
      <c r="M34">
        <v>-78.113122771638814</v>
      </c>
      <c r="N34">
        <v>626.9</v>
      </c>
      <c r="O34">
        <v>-705.01312277163879</v>
      </c>
    </row>
    <row r="35" spans="2:15" x14ac:dyDescent="0.55000000000000004">
      <c r="B35" s="3">
        <v>43751.451388888891</v>
      </c>
      <c r="C35">
        <v>5000.0188647563255</v>
      </c>
      <c r="D35">
        <v>18000067.913122773</v>
      </c>
      <c r="E35">
        <v>-67.913122771638768</v>
      </c>
      <c r="F35">
        <v>637.1</v>
      </c>
      <c r="G35" s="6">
        <v>-705.01312277163879</v>
      </c>
      <c r="K35" s="3">
        <v>43751.451388888891</v>
      </c>
      <c r="L35">
        <f t="shared" si="0"/>
        <v>5.0000188647563251</v>
      </c>
      <c r="M35">
        <v>-67.913122771638768</v>
      </c>
      <c r="N35">
        <v>637.1</v>
      </c>
      <c r="O35">
        <v>-705.01312277163879</v>
      </c>
    </row>
    <row r="36" spans="2:15" x14ac:dyDescent="0.55000000000000004">
      <c r="B36" s="3">
        <v>43751.458333333336</v>
      </c>
      <c r="C36">
        <v>5000.016378645214</v>
      </c>
      <c r="D36">
        <v>18000058.96312277</v>
      </c>
      <c r="E36">
        <v>-58.963122771638837</v>
      </c>
      <c r="F36">
        <v>646.04999999999995</v>
      </c>
      <c r="G36" s="6">
        <v>-705.01312277163879</v>
      </c>
      <c r="K36" s="3">
        <v>43751.458333333336</v>
      </c>
      <c r="L36">
        <f t="shared" si="0"/>
        <v>5.0000163786452143</v>
      </c>
      <c r="M36">
        <v>-58.963122771638837</v>
      </c>
      <c r="N36">
        <v>646.04999999999995</v>
      </c>
      <c r="O36">
        <v>-705.01312277163879</v>
      </c>
    </row>
    <row r="37" spans="2:15" x14ac:dyDescent="0.55000000000000004">
      <c r="B37" s="3">
        <v>43751.465277777781</v>
      </c>
      <c r="C37">
        <v>5000.0142814229921</v>
      </c>
      <c r="D37">
        <v>18000051.413122773</v>
      </c>
      <c r="E37">
        <v>-51.413122771638768</v>
      </c>
      <c r="F37">
        <v>653.6</v>
      </c>
      <c r="G37" s="6">
        <v>-705.01312277163879</v>
      </c>
      <c r="K37" s="3">
        <v>43751.465277777781</v>
      </c>
      <c r="L37">
        <f t="shared" si="0"/>
        <v>5.0000142814229918</v>
      </c>
      <c r="M37">
        <v>-51.413122771638768</v>
      </c>
      <c r="N37">
        <v>653.6</v>
      </c>
      <c r="O37">
        <v>-705.01312277163879</v>
      </c>
    </row>
    <row r="38" spans="2:15" x14ac:dyDescent="0.55000000000000004">
      <c r="B38" s="3">
        <v>43751.472222222219</v>
      </c>
      <c r="C38">
        <v>5000.0125592007698</v>
      </c>
      <c r="D38">
        <v>18000045.21312277</v>
      </c>
      <c r="E38">
        <v>-45.213122771638837</v>
      </c>
      <c r="F38">
        <v>659.8</v>
      </c>
      <c r="G38" s="6">
        <v>-705.01312277163879</v>
      </c>
      <c r="K38" s="3">
        <v>43751.472222222219</v>
      </c>
      <c r="L38">
        <f t="shared" si="0"/>
        <v>5.00001255920077</v>
      </c>
      <c r="M38">
        <v>-45.213122771638837</v>
      </c>
      <c r="N38">
        <v>659.8</v>
      </c>
      <c r="O38">
        <v>-705.01312277163879</v>
      </c>
    </row>
    <row r="39" spans="2:15" x14ac:dyDescent="0.55000000000000004">
      <c r="B39" s="3">
        <v>43751.479166666664</v>
      </c>
      <c r="C39">
        <v>5000.0112119785481</v>
      </c>
      <c r="D39">
        <v>18000040.363122772</v>
      </c>
      <c r="E39">
        <v>-40.363122771638814</v>
      </c>
      <c r="F39">
        <v>664.65</v>
      </c>
      <c r="G39" s="6">
        <v>-705.01312277163879</v>
      </c>
      <c r="K39" s="3">
        <v>43751.479166666664</v>
      </c>
      <c r="L39">
        <f t="shared" si="0"/>
        <v>5.0000112119785483</v>
      </c>
      <c r="M39">
        <v>-40.363122771638814</v>
      </c>
      <c r="N39">
        <v>664.65</v>
      </c>
      <c r="O39">
        <v>-705.01312277163879</v>
      </c>
    </row>
    <row r="40" spans="2:15" x14ac:dyDescent="0.55000000000000004">
      <c r="B40" s="3">
        <v>43751.486111111109</v>
      </c>
      <c r="C40">
        <v>5000.010239756326</v>
      </c>
      <c r="D40">
        <v>18000036.863122772</v>
      </c>
      <c r="E40">
        <v>-36.863122771638814</v>
      </c>
      <c r="F40">
        <v>668.15</v>
      </c>
      <c r="G40" s="6">
        <v>-705.01312277163879</v>
      </c>
      <c r="K40" s="3">
        <v>43751.486111111109</v>
      </c>
      <c r="L40">
        <f t="shared" si="0"/>
        <v>5.0000102397563264</v>
      </c>
      <c r="M40">
        <v>-36.863122771638814</v>
      </c>
      <c r="N40">
        <v>668.15</v>
      </c>
      <c r="O40">
        <v>-705.01312277163879</v>
      </c>
    </row>
    <row r="41" spans="2:15" x14ac:dyDescent="0.55000000000000004">
      <c r="B41" s="3">
        <v>43751.493055555555</v>
      </c>
      <c r="C41">
        <v>5000.0096564229916</v>
      </c>
      <c r="D41">
        <v>18000034.763122771</v>
      </c>
      <c r="E41">
        <v>-34.763122771638791</v>
      </c>
      <c r="F41">
        <v>670.25</v>
      </c>
      <c r="G41" s="6">
        <v>-705.01312277163879</v>
      </c>
      <c r="K41" s="3">
        <v>43751.493055555555</v>
      </c>
      <c r="L41">
        <f t="shared" si="0"/>
        <v>5.0000096564229919</v>
      </c>
      <c r="M41">
        <v>-34.763122771638791</v>
      </c>
      <c r="N41">
        <v>670.25</v>
      </c>
      <c r="O41">
        <v>-705.01312277163879</v>
      </c>
    </row>
    <row r="42" spans="2:15" x14ac:dyDescent="0.55000000000000004">
      <c r="B42" s="3">
        <v>43751.5</v>
      </c>
      <c r="C42">
        <v>5000.0094758674368</v>
      </c>
      <c r="D42">
        <v>18000034.113122772</v>
      </c>
      <c r="E42">
        <v>-34.113122771638814</v>
      </c>
      <c r="F42">
        <v>670.9</v>
      </c>
      <c r="G42" s="6">
        <v>-705.01312277163879</v>
      </c>
      <c r="K42" s="3">
        <v>43751.5</v>
      </c>
      <c r="L42">
        <f t="shared" si="0"/>
        <v>5.0000094758674365</v>
      </c>
      <c r="M42">
        <v>-34.113122771638814</v>
      </c>
      <c r="N42">
        <v>670.9</v>
      </c>
      <c r="O42">
        <v>-705.01312277163879</v>
      </c>
    </row>
    <row r="43" spans="2:15" x14ac:dyDescent="0.55000000000000004">
      <c r="B43" s="3">
        <v>43751.506944444445</v>
      </c>
      <c r="C43">
        <v>4999.7730835994416</v>
      </c>
      <c r="D43">
        <v>17999183.10095799</v>
      </c>
      <c r="E43">
        <v>816.8990420115814</v>
      </c>
      <c r="F43">
        <v>1340.5</v>
      </c>
      <c r="G43" s="6">
        <v>-523.6009579884186</v>
      </c>
      <c r="K43" s="3">
        <v>43751.506944444445</v>
      </c>
      <c r="L43">
        <f t="shared" si="0"/>
        <v>4.9997730835994414</v>
      </c>
      <c r="M43">
        <v>816.8990420115814</v>
      </c>
      <c r="N43">
        <v>1340.5</v>
      </c>
      <c r="O43">
        <v>-523.6009579884186</v>
      </c>
    </row>
    <row r="44" spans="2:15" x14ac:dyDescent="0.55000000000000004">
      <c r="B44" s="3">
        <v>43751.513888888891</v>
      </c>
      <c r="C44">
        <v>4999.7742502661076</v>
      </c>
      <c r="D44">
        <v>17999187.300957989</v>
      </c>
      <c r="E44">
        <v>812.69904201158135</v>
      </c>
      <c r="F44">
        <v>1336.3</v>
      </c>
      <c r="G44" s="6">
        <v>-523.6009579884186</v>
      </c>
      <c r="K44" s="3">
        <v>43751.513888888891</v>
      </c>
      <c r="L44">
        <f t="shared" si="0"/>
        <v>4.9997742502661078</v>
      </c>
      <c r="M44">
        <v>812.69904201158135</v>
      </c>
      <c r="N44">
        <v>1336.3</v>
      </c>
      <c r="O44">
        <v>-523.6009579884186</v>
      </c>
    </row>
    <row r="45" spans="2:15" x14ac:dyDescent="0.55000000000000004">
      <c r="B45" s="3">
        <v>43751.520833333336</v>
      </c>
      <c r="C45">
        <v>4999.7761947105528</v>
      </c>
      <c r="D45">
        <v>17999194.300957989</v>
      </c>
      <c r="E45">
        <v>805.69904201158135</v>
      </c>
      <c r="F45">
        <v>1329.3</v>
      </c>
      <c r="G45" s="6">
        <v>-523.6009579884186</v>
      </c>
      <c r="K45" s="3">
        <v>43751.520833333336</v>
      </c>
      <c r="L45">
        <f t="shared" si="0"/>
        <v>4.9997761947105523</v>
      </c>
      <c r="M45">
        <v>805.69904201158135</v>
      </c>
      <c r="N45">
        <v>1329.3</v>
      </c>
      <c r="O45">
        <v>-523.6009579884186</v>
      </c>
    </row>
    <row r="46" spans="2:15" x14ac:dyDescent="0.55000000000000004">
      <c r="B46" s="3">
        <v>43751.527777777781</v>
      </c>
      <c r="C46">
        <v>4999.7788613772182</v>
      </c>
      <c r="D46">
        <v>17999203.900957987</v>
      </c>
      <c r="E46">
        <v>796.09904201158145</v>
      </c>
      <c r="F46">
        <v>1319.7</v>
      </c>
      <c r="G46" s="6">
        <v>-523.6009579884186</v>
      </c>
      <c r="K46" s="3">
        <v>43751.527777777781</v>
      </c>
      <c r="L46">
        <f t="shared" si="0"/>
        <v>4.9997788613772185</v>
      </c>
      <c r="M46">
        <v>796.09904201158145</v>
      </c>
      <c r="N46">
        <v>1319.7</v>
      </c>
      <c r="O46">
        <v>-523.6009579884186</v>
      </c>
    </row>
    <row r="47" spans="2:15" x14ac:dyDescent="0.55000000000000004">
      <c r="B47" s="3">
        <v>43751.534722222219</v>
      </c>
      <c r="C47">
        <v>4999.7823335994408</v>
      </c>
      <c r="D47">
        <v>17999216.400957987</v>
      </c>
      <c r="E47">
        <v>783.59904201158145</v>
      </c>
      <c r="F47">
        <v>1307.2</v>
      </c>
      <c r="G47" s="6">
        <v>-523.6009579884186</v>
      </c>
      <c r="K47" s="3">
        <v>43751.534722222219</v>
      </c>
      <c r="L47">
        <f t="shared" si="0"/>
        <v>4.9997823335994411</v>
      </c>
      <c r="M47">
        <v>783.59904201158145</v>
      </c>
      <c r="N47">
        <v>1307.2</v>
      </c>
      <c r="O47">
        <v>-523.6009579884186</v>
      </c>
    </row>
    <row r="48" spans="2:15" x14ac:dyDescent="0.55000000000000004">
      <c r="B48" s="3">
        <v>43751.541666666664</v>
      </c>
      <c r="C48">
        <v>4999.7865280438855</v>
      </c>
      <c r="D48">
        <v>17999231.500957988</v>
      </c>
      <c r="E48">
        <v>768.49904201158131</v>
      </c>
      <c r="F48">
        <v>1292.0999999999999</v>
      </c>
      <c r="G48" s="6">
        <v>-523.6009579884186</v>
      </c>
      <c r="K48" s="3">
        <v>43751.541666666664</v>
      </c>
      <c r="L48">
        <f t="shared" si="0"/>
        <v>4.9997865280438853</v>
      </c>
      <c r="M48">
        <v>768.49904201158131</v>
      </c>
      <c r="N48">
        <v>1292.0999999999999</v>
      </c>
      <c r="O48">
        <v>-523.6009579884186</v>
      </c>
    </row>
    <row r="49" spans="2:15" x14ac:dyDescent="0.55000000000000004">
      <c r="B49" s="3">
        <v>43751.548611111109</v>
      </c>
      <c r="C49">
        <v>4999.7914724883303</v>
      </c>
      <c r="D49">
        <v>17999249.300957989</v>
      </c>
      <c r="E49">
        <v>750.69904201158135</v>
      </c>
      <c r="F49">
        <v>1274.3</v>
      </c>
      <c r="G49" s="6">
        <v>-523.6009579884186</v>
      </c>
      <c r="K49" s="3">
        <v>43751.548611111109</v>
      </c>
      <c r="L49">
        <f t="shared" si="0"/>
        <v>4.9997914724883303</v>
      </c>
      <c r="M49">
        <v>750.69904201158135</v>
      </c>
      <c r="N49">
        <v>1274.3</v>
      </c>
      <c r="O49">
        <v>-523.6009579884186</v>
      </c>
    </row>
    <row r="50" spans="2:15" x14ac:dyDescent="0.55000000000000004">
      <c r="B50" s="3">
        <v>43751.555555555555</v>
      </c>
      <c r="C50">
        <v>4999.7971669327744</v>
      </c>
      <c r="D50">
        <v>17999269.800957989</v>
      </c>
      <c r="E50">
        <v>730.19904201158135</v>
      </c>
      <c r="F50">
        <v>1253.8</v>
      </c>
      <c r="G50" s="6">
        <v>-523.6009579884186</v>
      </c>
      <c r="K50" s="3">
        <v>43751.555555555555</v>
      </c>
      <c r="L50">
        <f t="shared" si="0"/>
        <v>4.9997971669327743</v>
      </c>
      <c r="M50">
        <v>730.19904201158135</v>
      </c>
      <c r="N50">
        <v>1253.8</v>
      </c>
      <c r="O50">
        <v>-523.6009579884186</v>
      </c>
    </row>
    <row r="51" spans="2:15" x14ac:dyDescent="0.55000000000000004">
      <c r="B51" s="3">
        <v>43751.5625</v>
      </c>
      <c r="C51">
        <v>4999.8035835994406</v>
      </c>
      <c r="D51">
        <v>17999292.900957987</v>
      </c>
      <c r="E51">
        <v>707.09904201158145</v>
      </c>
      <c r="F51">
        <v>1230.7</v>
      </c>
      <c r="G51" s="6">
        <v>-523.6009579884186</v>
      </c>
      <c r="K51" s="3">
        <v>43751.5625</v>
      </c>
      <c r="L51">
        <f t="shared" si="0"/>
        <v>4.9998035835994408</v>
      </c>
      <c r="M51">
        <v>707.09904201158145</v>
      </c>
      <c r="N51">
        <v>1230.7</v>
      </c>
      <c r="O51">
        <v>-523.6009579884186</v>
      </c>
    </row>
    <row r="52" spans="2:15" x14ac:dyDescent="0.55000000000000004">
      <c r="B52" s="3">
        <v>43751.569444444445</v>
      </c>
      <c r="C52">
        <v>4999.8106947105525</v>
      </c>
      <c r="D52">
        <v>17999318.500957988</v>
      </c>
      <c r="E52">
        <v>681.49904201158131</v>
      </c>
      <c r="F52">
        <v>1205.0999999999999</v>
      </c>
      <c r="G52" s="6">
        <v>-523.6009579884186</v>
      </c>
      <c r="K52" s="3">
        <v>43751.569444444445</v>
      </c>
      <c r="L52">
        <f t="shared" si="0"/>
        <v>4.9998106947105523</v>
      </c>
      <c r="M52">
        <v>681.49904201158131</v>
      </c>
      <c r="N52">
        <v>1205.0999999999999</v>
      </c>
      <c r="O52">
        <v>-523.6009579884186</v>
      </c>
    </row>
    <row r="53" spans="2:15" x14ac:dyDescent="0.55000000000000004">
      <c r="B53" s="3">
        <v>43751.576388888891</v>
      </c>
      <c r="C53">
        <v>4999.8185280438856</v>
      </c>
      <c r="D53">
        <v>17999346.700957987</v>
      </c>
      <c r="E53">
        <v>653.29904201158149</v>
      </c>
      <c r="F53">
        <v>1176.9000000000001</v>
      </c>
      <c r="G53" s="6">
        <v>-523.6009579884186</v>
      </c>
      <c r="K53" s="3">
        <v>43751.576388888891</v>
      </c>
      <c r="L53">
        <f t="shared" si="0"/>
        <v>4.9998185280438854</v>
      </c>
      <c r="M53">
        <v>653.29904201158149</v>
      </c>
      <c r="N53">
        <v>1176.9000000000001</v>
      </c>
      <c r="O53">
        <v>-523.6009579884186</v>
      </c>
    </row>
    <row r="54" spans="2:15" x14ac:dyDescent="0.55000000000000004">
      <c r="B54" s="3">
        <v>43751.583333333336</v>
      </c>
      <c r="C54">
        <v>4999.8270002661075</v>
      </c>
      <c r="D54">
        <v>17999377.200957987</v>
      </c>
      <c r="E54">
        <v>622.79904201158149</v>
      </c>
      <c r="F54">
        <v>1146.4000000000001</v>
      </c>
      <c r="G54" s="6">
        <v>-523.6009579884186</v>
      </c>
      <c r="K54" s="3">
        <v>43751.583333333336</v>
      </c>
      <c r="L54">
        <f t="shared" si="0"/>
        <v>4.9998270002661078</v>
      </c>
      <c r="M54">
        <v>622.79904201158149</v>
      </c>
      <c r="N54">
        <v>1146.4000000000001</v>
      </c>
      <c r="O54">
        <v>-523.6009579884186</v>
      </c>
    </row>
    <row r="55" spans="2:15" x14ac:dyDescent="0.55000000000000004">
      <c r="B55" s="3">
        <v>43751.590277777781</v>
      </c>
      <c r="C55">
        <v>4999.8361669327742</v>
      </c>
      <c r="D55">
        <v>17999410.200957987</v>
      </c>
      <c r="E55">
        <v>589.79904201158149</v>
      </c>
      <c r="F55">
        <v>1113.4000000000001</v>
      </c>
      <c r="G55" s="6">
        <v>-523.6009579884186</v>
      </c>
      <c r="K55" s="3">
        <v>43751.590277777781</v>
      </c>
      <c r="L55">
        <f t="shared" si="0"/>
        <v>4.9998361669327744</v>
      </c>
      <c r="M55">
        <v>589.79904201158149</v>
      </c>
      <c r="N55">
        <v>1113.4000000000001</v>
      </c>
      <c r="O55">
        <v>-523.6009579884186</v>
      </c>
    </row>
    <row r="56" spans="2:15" x14ac:dyDescent="0.55000000000000004">
      <c r="B56" s="3">
        <v>43751.597222222219</v>
      </c>
      <c r="C56">
        <v>4999.8459724883296</v>
      </c>
      <c r="D56">
        <v>17999445.500957988</v>
      </c>
      <c r="E56">
        <v>554.49904201158131</v>
      </c>
      <c r="F56">
        <v>1078.0999999999999</v>
      </c>
      <c r="G56" s="6">
        <v>-523.6009579884186</v>
      </c>
      <c r="K56" s="3">
        <v>43751.597222222219</v>
      </c>
      <c r="L56">
        <f t="shared" si="0"/>
        <v>4.9998459724883295</v>
      </c>
      <c r="M56">
        <v>554.49904201158131</v>
      </c>
      <c r="N56">
        <v>1078.0999999999999</v>
      </c>
      <c r="O56">
        <v>-523.6009579884186</v>
      </c>
    </row>
    <row r="57" spans="2:15" x14ac:dyDescent="0.55000000000000004">
      <c r="B57" s="3">
        <v>43751.604166666664</v>
      </c>
      <c r="C57">
        <v>4999.8563891549966</v>
      </c>
      <c r="D57">
        <v>17999483.000957988</v>
      </c>
      <c r="E57">
        <v>516.99904201158131</v>
      </c>
      <c r="F57">
        <v>1040.5999999999999</v>
      </c>
      <c r="G57" s="6">
        <v>-523.6009579884186</v>
      </c>
      <c r="K57" s="3">
        <v>43751.604166666664</v>
      </c>
      <c r="L57">
        <f t="shared" si="0"/>
        <v>4.9998563891549965</v>
      </c>
      <c r="M57">
        <v>516.99904201158131</v>
      </c>
      <c r="N57">
        <v>1040.5999999999999</v>
      </c>
      <c r="O57">
        <v>-523.6009579884186</v>
      </c>
    </row>
    <row r="58" spans="2:15" x14ac:dyDescent="0.55000000000000004">
      <c r="B58" s="3">
        <v>43751.611111111109</v>
      </c>
      <c r="C58">
        <v>4999.8674169327742</v>
      </c>
      <c r="D58">
        <v>17999522.700957987</v>
      </c>
      <c r="E58">
        <v>477.29904201158138</v>
      </c>
      <c r="F58">
        <v>1000.9</v>
      </c>
      <c r="G58" s="6">
        <v>-523.6009579884186</v>
      </c>
      <c r="K58" s="3">
        <v>43751.611111111109</v>
      </c>
      <c r="L58">
        <f t="shared" si="0"/>
        <v>4.9998674169327746</v>
      </c>
      <c r="M58">
        <v>477.29904201158138</v>
      </c>
      <c r="N58">
        <v>1000.9</v>
      </c>
      <c r="O58">
        <v>-523.6009579884186</v>
      </c>
    </row>
    <row r="59" spans="2:15" x14ac:dyDescent="0.55000000000000004">
      <c r="B59" s="3">
        <v>43751.618055555555</v>
      </c>
      <c r="C59">
        <v>4999.8790280438852</v>
      </c>
      <c r="D59">
        <v>17999564.500957988</v>
      </c>
      <c r="E59">
        <v>435.49904201158142</v>
      </c>
      <c r="F59">
        <v>959.1</v>
      </c>
      <c r="G59" s="6">
        <v>-523.6009579884186</v>
      </c>
      <c r="K59" s="3">
        <v>43751.618055555555</v>
      </c>
      <c r="L59">
        <f t="shared" si="0"/>
        <v>4.9998790280438854</v>
      </c>
      <c r="M59">
        <v>435.49904201158142</v>
      </c>
      <c r="N59">
        <v>959.1</v>
      </c>
      <c r="O59">
        <v>-523.6009579884186</v>
      </c>
    </row>
    <row r="60" spans="2:15" x14ac:dyDescent="0.55000000000000004">
      <c r="B60" s="3">
        <v>43751.625</v>
      </c>
      <c r="C60">
        <v>4999.8911669327745</v>
      </c>
      <c r="D60">
        <v>17999608.200957987</v>
      </c>
      <c r="E60">
        <v>391.79904201158138</v>
      </c>
      <c r="F60">
        <v>915.4</v>
      </c>
      <c r="G60" s="6">
        <v>-523.6009579884186</v>
      </c>
      <c r="K60" s="3">
        <v>43751.625</v>
      </c>
      <c r="L60">
        <f t="shared" si="0"/>
        <v>4.9998911669327741</v>
      </c>
      <c r="M60">
        <v>391.79904201158138</v>
      </c>
      <c r="N60">
        <v>915.4</v>
      </c>
      <c r="O60">
        <v>-523.6009579884186</v>
      </c>
    </row>
    <row r="61" spans="2:15" x14ac:dyDescent="0.55000000000000004">
      <c r="B61" s="3">
        <v>43751.631944444445</v>
      </c>
      <c r="C61">
        <v>4999.903833599441</v>
      </c>
      <c r="D61">
        <v>17999653.800957989</v>
      </c>
      <c r="E61">
        <v>346.19904201158135</v>
      </c>
      <c r="F61">
        <v>869.8</v>
      </c>
      <c r="G61" s="6">
        <v>-523.6009579884186</v>
      </c>
      <c r="K61" s="3">
        <v>43751.631944444445</v>
      </c>
      <c r="L61">
        <f t="shared" si="0"/>
        <v>4.9999038335994408</v>
      </c>
      <c r="M61">
        <v>346.19904201158135</v>
      </c>
      <c r="N61">
        <v>869.8</v>
      </c>
      <c r="O61">
        <v>-523.6009579884186</v>
      </c>
    </row>
    <row r="62" spans="2:15" x14ac:dyDescent="0.55000000000000004">
      <c r="B62" s="3">
        <v>43751.638888888891</v>
      </c>
      <c r="C62">
        <v>4999.9170002661076</v>
      </c>
      <c r="D62">
        <v>17999701.200957987</v>
      </c>
      <c r="E62">
        <v>298.79904201158138</v>
      </c>
      <c r="F62">
        <v>822.4</v>
      </c>
      <c r="G62" s="6">
        <v>-523.6009579884186</v>
      </c>
      <c r="K62" s="3">
        <v>43751.638888888891</v>
      </c>
      <c r="L62">
        <f t="shared" si="0"/>
        <v>4.999917000266108</v>
      </c>
      <c r="M62">
        <v>298.79904201158138</v>
      </c>
      <c r="N62">
        <v>822.4</v>
      </c>
      <c r="O62">
        <v>-523.6009579884186</v>
      </c>
    </row>
    <row r="63" spans="2:15" x14ac:dyDescent="0.55000000000000004">
      <c r="B63" s="3">
        <v>43751.645833333336</v>
      </c>
      <c r="C63">
        <v>4999.9306113772191</v>
      </c>
      <c r="D63">
        <v>17999750.200957987</v>
      </c>
      <c r="E63">
        <v>249.79904201158138</v>
      </c>
      <c r="F63">
        <v>773.4</v>
      </c>
      <c r="G63" s="6">
        <v>-523.6009579884186</v>
      </c>
      <c r="K63" s="3">
        <v>43751.645833333336</v>
      </c>
      <c r="L63">
        <f t="shared" si="0"/>
        <v>4.9999306113772191</v>
      </c>
      <c r="M63">
        <v>249.79904201158138</v>
      </c>
      <c r="N63">
        <v>773.4</v>
      </c>
      <c r="O63">
        <v>-523.6009579884186</v>
      </c>
    </row>
    <row r="64" spans="2:15" x14ac:dyDescent="0.55000000000000004">
      <c r="B64" s="3">
        <v>43751.652777777781</v>
      </c>
      <c r="C64">
        <v>4999.9446669327745</v>
      </c>
      <c r="D64">
        <v>17999800.800957989</v>
      </c>
      <c r="E64">
        <v>199.19904201158135</v>
      </c>
      <c r="F64">
        <v>722.8</v>
      </c>
      <c r="G64" s="6">
        <v>-523.6009579884186</v>
      </c>
      <c r="K64" s="3">
        <v>43751.652777777781</v>
      </c>
      <c r="L64">
        <f t="shared" si="0"/>
        <v>4.9999446669327741</v>
      </c>
      <c r="M64">
        <v>199.19904201158135</v>
      </c>
      <c r="N64">
        <v>722.8</v>
      </c>
      <c r="O64">
        <v>-523.6009579884186</v>
      </c>
    </row>
    <row r="65" spans="2:15" x14ac:dyDescent="0.55000000000000004">
      <c r="B65" s="3">
        <v>43751.659722222219</v>
      </c>
      <c r="C65">
        <v>4999.9591113772194</v>
      </c>
      <c r="D65">
        <v>17999852.800957989</v>
      </c>
      <c r="E65">
        <v>147.19904201158135</v>
      </c>
      <c r="F65">
        <v>670.8</v>
      </c>
      <c r="G65" s="6">
        <v>-523.6009579884186</v>
      </c>
      <c r="K65" s="3">
        <v>43751.659722222219</v>
      </c>
      <c r="L65">
        <f t="shared" si="0"/>
        <v>4.999959111377219</v>
      </c>
      <c r="M65">
        <v>147.19904201158135</v>
      </c>
      <c r="N65">
        <v>670.8</v>
      </c>
      <c r="O65">
        <v>-523.6009579884186</v>
      </c>
    </row>
    <row r="66" spans="2:15" x14ac:dyDescent="0.55000000000000004">
      <c r="B66" s="3">
        <v>43751.666666666664</v>
      </c>
      <c r="C66">
        <v>4999.973916932775</v>
      </c>
      <c r="D66">
        <v>17999906.10095799</v>
      </c>
      <c r="E66">
        <v>93.8990420115814</v>
      </c>
      <c r="F66">
        <v>617.5</v>
      </c>
      <c r="G66" s="6">
        <v>-523.6009579884186</v>
      </c>
      <c r="K66" s="3">
        <v>43751.666666666664</v>
      </c>
      <c r="L66">
        <f t="shared" si="0"/>
        <v>4.9999739169327748</v>
      </c>
      <c r="M66">
        <v>93.8990420115814</v>
      </c>
      <c r="N66">
        <v>617.5</v>
      </c>
      <c r="O66">
        <v>-523.6009579884186</v>
      </c>
    </row>
    <row r="67" spans="2:15" x14ac:dyDescent="0.55000000000000004">
      <c r="B67" s="3">
        <v>43751.673611111109</v>
      </c>
      <c r="C67">
        <v>4999.9890002661077</v>
      </c>
      <c r="D67">
        <v>17999960.400957987</v>
      </c>
      <c r="E67">
        <v>39.599042011581446</v>
      </c>
      <c r="F67">
        <v>563.20000000000005</v>
      </c>
      <c r="G67" s="6">
        <v>-523.6009579884186</v>
      </c>
      <c r="K67" s="3">
        <v>43751.673611111109</v>
      </c>
      <c r="L67">
        <f t="shared" si="0"/>
        <v>4.9999890002661074</v>
      </c>
      <c r="M67">
        <v>39.599042011581446</v>
      </c>
      <c r="N67">
        <v>563.20000000000005</v>
      </c>
      <c r="O67">
        <v>-523.6009579884186</v>
      </c>
    </row>
    <row r="68" spans="2:15" x14ac:dyDescent="0.55000000000000004">
      <c r="B68" s="3">
        <v>43751.680555555555</v>
      </c>
      <c r="C68">
        <v>5000.0043613772186</v>
      </c>
      <c r="D68">
        <v>18000015.700957987</v>
      </c>
      <c r="E68">
        <v>-15.700957988418622</v>
      </c>
      <c r="F68">
        <v>507.9</v>
      </c>
      <c r="G68" s="6">
        <v>-523.6009579884186</v>
      </c>
      <c r="K68" s="3">
        <v>43751.680555555555</v>
      </c>
      <c r="L68">
        <f t="shared" si="0"/>
        <v>5.0000043613772185</v>
      </c>
      <c r="M68">
        <v>-15.700957988418622</v>
      </c>
      <c r="N68">
        <v>507.9</v>
      </c>
      <c r="O68">
        <v>-523.6009579884186</v>
      </c>
    </row>
    <row r="69" spans="2:15" x14ac:dyDescent="0.55000000000000004">
      <c r="B69" s="3">
        <v>43751.6875</v>
      </c>
      <c r="C69">
        <v>5000.0198891549971</v>
      </c>
      <c r="D69">
        <v>18000071.60095799</v>
      </c>
      <c r="E69">
        <v>-71.6009579884186</v>
      </c>
      <c r="F69">
        <v>452</v>
      </c>
      <c r="G69" s="6">
        <v>-523.6009579884186</v>
      </c>
      <c r="K69" s="3">
        <v>43751.6875</v>
      </c>
      <c r="L69">
        <f t="shared" si="0"/>
        <v>5.0000198891549967</v>
      </c>
      <c r="M69">
        <v>-71.6009579884186</v>
      </c>
      <c r="N69">
        <v>452</v>
      </c>
      <c r="O69">
        <v>-523.6009579884186</v>
      </c>
    </row>
    <row r="70" spans="2:15" x14ac:dyDescent="0.55000000000000004">
      <c r="B70" s="3">
        <v>43751.694444444445</v>
      </c>
      <c r="C70">
        <v>5000.0355835994415</v>
      </c>
      <c r="D70">
        <v>18000128.10095799</v>
      </c>
      <c r="E70">
        <v>-128.1009579884186</v>
      </c>
      <c r="F70">
        <v>395.5</v>
      </c>
      <c r="G70" s="6">
        <v>-523.6009579884186</v>
      </c>
      <c r="K70" s="3">
        <v>43751.694444444445</v>
      </c>
      <c r="L70">
        <f t="shared" si="0"/>
        <v>5.0000355835994412</v>
      </c>
      <c r="M70">
        <v>-128.1009579884186</v>
      </c>
      <c r="N70">
        <v>395.5</v>
      </c>
      <c r="O70">
        <v>-523.6009579884186</v>
      </c>
    </row>
    <row r="71" spans="2:15" x14ac:dyDescent="0.55000000000000004">
      <c r="B71" s="3">
        <v>43751.701388888891</v>
      </c>
      <c r="C71">
        <v>5000.0512780438858</v>
      </c>
      <c r="D71">
        <v>18000184.60095799</v>
      </c>
      <c r="E71">
        <v>-184.6009579884186</v>
      </c>
      <c r="F71">
        <v>339</v>
      </c>
      <c r="G71" s="6">
        <v>-523.6009579884186</v>
      </c>
      <c r="K71" s="3">
        <v>43751.701388888891</v>
      </c>
      <c r="L71">
        <f t="shared" ref="L71:L134" si="1">C71/1000</f>
        <v>5.0000512780438857</v>
      </c>
      <c r="M71">
        <v>-184.6009579884186</v>
      </c>
      <c r="N71">
        <v>339</v>
      </c>
      <c r="O71">
        <v>-523.6009579884186</v>
      </c>
    </row>
    <row r="72" spans="2:15" x14ac:dyDescent="0.55000000000000004">
      <c r="B72" s="3">
        <v>43751.708333333336</v>
      </c>
      <c r="C72">
        <v>4999.9214722222223</v>
      </c>
      <c r="D72">
        <v>17999717.300000001</v>
      </c>
      <c r="E72">
        <v>282.7</v>
      </c>
      <c r="F72">
        <v>282.7</v>
      </c>
      <c r="G72" s="6">
        <v>0</v>
      </c>
      <c r="K72" s="3">
        <v>43751.708333333336</v>
      </c>
      <c r="L72">
        <f t="shared" si="1"/>
        <v>4.9999214722222227</v>
      </c>
      <c r="M72">
        <v>282.7</v>
      </c>
      <c r="N72">
        <v>282.7</v>
      </c>
      <c r="O72">
        <v>0</v>
      </c>
    </row>
    <row r="73" spans="2:15" x14ac:dyDescent="0.55000000000000004">
      <c r="B73" s="3">
        <v>43751.715277777781</v>
      </c>
      <c r="C73">
        <v>4999.9369166666665</v>
      </c>
      <c r="D73">
        <v>17999772.899999999</v>
      </c>
      <c r="E73">
        <v>227.1</v>
      </c>
      <c r="F73">
        <v>227.1</v>
      </c>
      <c r="G73" s="6">
        <v>0</v>
      </c>
      <c r="K73" s="3">
        <v>43751.715277777781</v>
      </c>
      <c r="L73">
        <f t="shared" si="1"/>
        <v>4.999936916666667</v>
      </c>
      <c r="M73">
        <v>227.1</v>
      </c>
      <c r="N73">
        <v>227.1</v>
      </c>
      <c r="O73">
        <v>0</v>
      </c>
    </row>
    <row r="74" spans="2:15" x14ac:dyDescent="0.55000000000000004">
      <c r="B74" s="3">
        <v>43751.722222222219</v>
      </c>
      <c r="C74">
        <v>4999.9518888888888</v>
      </c>
      <c r="D74">
        <v>17999826.800000001</v>
      </c>
      <c r="E74">
        <v>173.2</v>
      </c>
      <c r="F74">
        <v>173.2</v>
      </c>
      <c r="G74" s="6">
        <v>0</v>
      </c>
      <c r="K74" s="3">
        <v>43751.722222222219</v>
      </c>
      <c r="L74">
        <f t="shared" si="1"/>
        <v>4.999951888888889</v>
      </c>
      <c r="M74">
        <v>173.2</v>
      </c>
      <c r="N74">
        <v>173.2</v>
      </c>
      <c r="O74">
        <v>0</v>
      </c>
    </row>
    <row r="75" spans="2:15" x14ac:dyDescent="0.55000000000000004">
      <c r="B75" s="3">
        <v>43751.729166666664</v>
      </c>
      <c r="C75">
        <v>4999.966138888889</v>
      </c>
      <c r="D75">
        <v>17999878.100000001</v>
      </c>
      <c r="E75">
        <v>121.9</v>
      </c>
      <c r="F75">
        <v>121.9</v>
      </c>
      <c r="G75" s="6">
        <v>0</v>
      </c>
      <c r="K75" s="3">
        <v>43751.729166666664</v>
      </c>
      <c r="L75">
        <f t="shared" si="1"/>
        <v>4.9999661388888885</v>
      </c>
      <c r="M75">
        <v>121.9</v>
      </c>
      <c r="N75">
        <v>121.9</v>
      </c>
      <c r="O75">
        <v>0</v>
      </c>
    </row>
    <row r="76" spans="2:15" x14ac:dyDescent="0.55000000000000004">
      <c r="B76" s="3">
        <v>43751.736111111109</v>
      </c>
      <c r="C76">
        <v>4999.9791388888889</v>
      </c>
      <c r="D76">
        <v>17999924.899999999</v>
      </c>
      <c r="E76">
        <v>75.099999999999994</v>
      </c>
      <c r="F76">
        <v>75.099999999999994</v>
      </c>
      <c r="G76" s="6">
        <v>0</v>
      </c>
      <c r="K76" s="3">
        <v>43751.736111111109</v>
      </c>
      <c r="L76">
        <f t="shared" si="1"/>
        <v>4.9999791388888886</v>
      </c>
      <c r="M76">
        <v>75.099999999999994</v>
      </c>
      <c r="N76">
        <v>75.099999999999994</v>
      </c>
      <c r="O76">
        <v>0</v>
      </c>
    </row>
    <row r="77" spans="2:15" x14ac:dyDescent="0.55000000000000004">
      <c r="B77" s="3">
        <v>43751.743055555555</v>
      </c>
      <c r="C77">
        <v>4999.99</v>
      </c>
      <c r="D77">
        <v>17999964</v>
      </c>
      <c r="E77">
        <v>36</v>
      </c>
      <c r="F77">
        <v>36</v>
      </c>
      <c r="G77" s="6">
        <v>0</v>
      </c>
      <c r="K77" s="3">
        <v>43751.743055555555</v>
      </c>
      <c r="L77">
        <f t="shared" si="1"/>
        <v>4.9999899999999995</v>
      </c>
      <c r="M77">
        <v>36</v>
      </c>
      <c r="N77">
        <v>36</v>
      </c>
      <c r="O77">
        <v>0</v>
      </c>
    </row>
    <row r="78" spans="2:15" ht="18.5" thickBot="1" x14ac:dyDescent="0.6">
      <c r="B78" s="3">
        <v>43751.75</v>
      </c>
      <c r="C78">
        <v>4999.9972777777775</v>
      </c>
      <c r="D78">
        <v>17999990.199999999</v>
      </c>
      <c r="E78">
        <v>9.8000000000000007</v>
      </c>
      <c r="F78">
        <v>9.8000000000000007</v>
      </c>
      <c r="G78" s="7">
        <v>0</v>
      </c>
      <c r="K78" s="3">
        <v>43751.75</v>
      </c>
      <c r="L78">
        <f t="shared" si="1"/>
        <v>4.9999972777777772</v>
      </c>
      <c r="M78">
        <v>9.8000000000000007</v>
      </c>
      <c r="N78">
        <v>9.8000000000000007</v>
      </c>
      <c r="O78">
        <v>0</v>
      </c>
    </row>
    <row r="79" spans="2:15" x14ac:dyDescent="0.55000000000000004">
      <c r="B79" s="8">
        <v>43752.25</v>
      </c>
      <c r="C79">
        <v>4999.9956444444442</v>
      </c>
      <c r="D79">
        <v>17999984.32</v>
      </c>
      <c r="E79">
        <v>5.88</v>
      </c>
      <c r="F79">
        <v>5.88</v>
      </c>
      <c r="G79">
        <v>0</v>
      </c>
      <c r="K79" s="8">
        <v>43752.25</v>
      </c>
      <c r="L79">
        <f t="shared" si="1"/>
        <v>4.9999956444444447</v>
      </c>
      <c r="M79">
        <v>5.88</v>
      </c>
      <c r="N79">
        <v>5.88</v>
      </c>
      <c r="O79">
        <v>0</v>
      </c>
    </row>
    <row r="80" spans="2:15" x14ac:dyDescent="0.55000000000000004">
      <c r="B80" s="8">
        <v>43752.256944444445</v>
      </c>
      <c r="C80">
        <v>4999.9896444444439</v>
      </c>
      <c r="D80">
        <v>17999962.719999999</v>
      </c>
      <c r="E80">
        <v>21.599999999999998</v>
      </c>
      <c r="F80">
        <v>21.599999999999998</v>
      </c>
      <c r="G80">
        <v>0</v>
      </c>
      <c r="K80" s="8">
        <v>43752.256944444445</v>
      </c>
      <c r="L80">
        <f t="shared" si="1"/>
        <v>4.9999896444444438</v>
      </c>
      <c r="M80">
        <v>21.599999999999998</v>
      </c>
      <c r="N80">
        <v>21.599999999999998</v>
      </c>
      <c r="O80">
        <v>0</v>
      </c>
    </row>
    <row r="81" spans="2:15" x14ac:dyDescent="0.55000000000000004">
      <c r="B81" s="8">
        <v>43752.263888888891</v>
      </c>
      <c r="C81">
        <v>4999.9771277777782</v>
      </c>
      <c r="D81">
        <v>17999917.66</v>
      </c>
      <c r="E81">
        <v>45.059999999999995</v>
      </c>
      <c r="F81">
        <v>45.059999999999995</v>
      </c>
      <c r="G81">
        <v>0</v>
      </c>
      <c r="K81" s="8">
        <v>43752.263888888891</v>
      </c>
      <c r="L81">
        <f t="shared" si="1"/>
        <v>4.999977127777778</v>
      </c>
      <c r="M81">
        <v>45.059999999999995</v>
      </c>
      <c r="N81">
        <v>45.059999999999995</v>
      </c>
      <c r="O81">
        <v>0</v>
      </c>
    </row>
    <row r="82" spans="2:15" x14ac:dyDescent="0.55000000000000004">
      <c r="B82" s="8">
        <v>43752.270833333336</v>
      </c>
      <c r="C82">
        <v>4999.9568277777771</v>
      </c>
      <c r="D82">
        <v>17999844.579999998</v>
      </c>
      <c r="E82">
        <v>73.08</v>
      </c>
      <c r="F82">
        <v>73.08</v>
      </c>
      <c r="G82">
        <v>0</v>
      </c>
      <c r="K82" s="8">
        <v>43752.270833333336</v>
      </c>
      <c r="L82">
        <f t="shared" si="1"/>
        <v>4.9999568277777771</v>
      </c>
      <c r="M82">
        <v>73.08</v>
      </c>
      <c r="N82">
        <v>73.08</v>
      </c>
      <c r="O82">
        <v>0</v>
      </c>
    </row>
    <row r="83" spans="2:15" x14ac:dyDescent="0.55000000000000004">
      <c r="B83" s="8">
        <v>43752.277777777781</v>
      </c>
      <c r="C83">
        <v>4999.9279777777774</v>
      </c>
      <c r="D83">
        <v>17999740.719999999</v>
      </c>
      <c r="E83">
        <v>103.86</v>
      </c>
      <c r="F83">
        <v>103.86</v>
      </c>
      <c r="G83">
        <v>0</v>
      </c>
      <c r="K83" s="8">
        <v>43752.277777777781</v>
      </c>
      <c r="L83">
        <f t="shared" si="1"/>
        <v>4.9999279777777774</v>
      </c>
      <c r="M83">
        <v>103.86</v>
      </c>
      <c r="N83">
        <v>103.86</v>
      </c>
      <c r="O83">
        <v>0</v>
      </c>
    </row>
    <row r="84" spans="2:15" x14ac:dyDescent="0.55000000000000004">
      <c r="B84" s="8">
        <v>43752.284722222219</v>
      </c>
      <c r="C84">
        <v>4999.8901277777777</v>
      </c>
      <c r="D84">
        <v>17999604.460000001</v>
      </c>
      <c r="E84">
        <v>136.26</v>
      </c>
      <c r="F84">
        <v>136.26</v>
      </c>
      <c r="G84">
        <v>0</v>
      </c>
      <c r="K84" s="8">
        <v>43752.284722222219</v>
      </c>
      <c r="L84">
        <f t="shared" si="1"/>
        <v>4.9998901277777774</v>
      </c>
      <c r="M84">
        <v>136.26</v>
      </c>
      <c r="N84">
        <v>136.26</v>
      </c>
      <c r="O84">
        <v>0</v>
      </c>
    </row>
    <row r="85" spans="2:15" x14ac:dyDescent="0.55000000000000004">
      <c r="B85" s="8">
        <v>43752.291666666664</v>
      </c>
      <c r="C85">
        <v>4999.843027777777</v>
      </c>
      <c r="D85">
        <v>17999434.899999999</v>
      </c>
      <c r="E85">
        <v>169.56</v>
      </c>
      <c r="F85">
        <v>169.56</v>
      </c>
      <c r="G85">
        <v>0</v>
      </c>
      <c r="K85" s="8">
        <v>43752.291666666664</v>
      </c>
      <c r="L85">
        <f t="shared" si="1"/>
        <v>4.9998430277777768</v>
      </c>
      <c r="M85">
        <v>169.56</v>
      </c>
      <c r="N85">
        <v>169.56</v>
      </c>
      <c r="O85">
        <v>0</v>
      </c>
    </row>
    <row r="86" spans="2:15" x14ac:dyDescent="0.55000000000000004">
      <c r="B86" s="8">
        <v>43752.298611111109</v>
      </c>
      <c r="C86">
        <v>4999.7865444444442</v>
      </c>
      <c r="D86">
        <v>17999231.559999999</v>
      </c>
      <c r="E86">
        <v>203.33999999999997</v>
      </c>
      <c r="F86">
        <v>203.33999999999997</v>
      </c>
      <c r="G86">
        <v>0</v>
      </c>
      <c r="K86" s="8">
        <v>43752.298611111109</v>
      </c>
      <c r="L86">
        <f t="shared" si="1"/>
        <v>4.9997865444444445</v>
      </c>
      <c r="M86">
        <v>203.33999999999997</v>
      </c>
      <c r="N86">
        <v>203.33999999999997</v>
      </c>
      <c r="O86">
        <v>0</v>
      </c>
    </row>
    <row r="87" spans="2:15" x14ac:dyDescent="0.55000000000000004">
      <c r="B87" s="8">
        <v>43752.305555555555</v>
      </c>
      <c r="C87">
        <v>4999.7206277777768</v>
      </c>
      <c r="D87">
        <v>17998994.259999998</v>
      </c>
      <c r="E87">
        <v>237.29999999999998</v>
      </c>
      <c r="F87">
        <v>237.29999999999998</v>
      </c>
      <c r="G87">
        <v>0</v>
      </c>
      <c r="K87" s="8">
        <v>43752.305555555555</v>
      </c>
      <c r="L87">
        <f t="shared" si="1"/>
        <v>4.9997206277777773</v>
      </c>
      <c r="M87">
        <v>237.29999999999998</v>
      </c>
      <c r="N87">
        <v>237.29999999999998</v>
      </c>
      <c r="O87">
        <v>0</v>
      </c>
    </row>
    <row r="88" spans="2:15" x14ac:dyDescent="0.55000000000000004">
      <c r="B88" s="8">
        <v>43752.3125</v>
      </c>
      <c r="C88">
        <v>4999.6453111111114</v>
      </c>
      <c r="D88">
        <v>17998723.120000001</v>
      </c>
      <c r="E88">
        <v>271.14</v>
      </c>
      <c r="F88">
        <v>271.14</v>
      </c>
      <c r="G88">
        <v>0</v>
      </c>
      <c r="K88" s="8">
        <v>43752.3125</v>
      </c>
      <c r="L88">
        <f t="shared" si="1"/>
        <v>4.9996453111111112</v>
      </c>
      <c r="M88">
        <v>271.14</v>
      </c>
      <c r="N88">
        <v>271.14</v>
      </c>
      <c r="O88">
        <v>0</v>
      </c>
    </row>
    <row r="89" spans="2:15" x14ac:dyDescent="0.55000000000000004">
      <c r="B89" s="8">
        <v>43752.319444444445</v>
      </c>
      <c r="C89">
        <v>4999.5606611111107</v>
      </c>
      <c r="D89">
        <v>17998418.379999999</v>
      </c>
      <c r="E89">
        <v>304.73999999999995</v>
      </c>
      <c r="F89">
        <v>304.73999999999995</v>
      </c>
      <c r="G89">
        <v>0</v>
      </c>
      <c r="K89" s="8">
        <v>43752.319444444445</v>
      </c>
      <c r="L89">
        <f t="shared" si="1"/>
        <v>4.9995606611111105</v>
      </c>
      <c r="M89">
        <v>304.73999999999995</v>
      </c>
      <c r="N89">
        <v>304.73999999999995</v>
      </c>
      <c r="O89">
        <v>0</v>
      </c>
    </row>
    <row r="90" spans="2:15" x14ac:dyDescent="0.55000000000000004">
      <c r="B90" s="8">
        <v>43752.326388888891</v>
      </c>
      <c r="C90">
        <v>4999.4668111111114</v>
      </c>
      <c r="D90">
        <v>17998080.52</v>
      </c>
      <c r="E90">
        <v>337.86</v>
      </c>
      <c r="F90">
        <v>337.86</v>
      </c>
      <c r="G90">
        <v>0</v>
      </c>
      <c r="K90" s="8">
        <v>43752.326388888891</v>
      </c>
      <c r="L90">
        <f t="shared" si="1"/>
        <v>4.9994668111111116</v>
      </c>
      <c r="M90">
        <v>337.86</v>
      </c>
      <c r="N90">
        <v>337.86</v>
      </c>
      <c r="O90">
        <v>0</v>
      </c>
    </row>
    <row r="91" spans="2:15" x14ac:dyDescent="0.55000000000000004">
      <c r="B91" s="8">
        <v>43752.333333333336</v>
      </c>
      <c r="C91">
        <v>4999.5093391549972</v>
      </c>
      <c r="D91">
        <v>17998233.620957989</v>
      </c>
      <c r="E91">
        <v>-153.1009579884186</v>
      </c>
      <c r="F91">
        <v>370.5</v>
      </c>
      <c r="G91">
        <v>-523.6009579884186</v>
      </c>
      <c r="K91" s="8">
        <v>43752.333333333336</v>
      </c>
      <c r="L91">
        <f t="shared" si="1"/>
        <v>4.9995093391549972</v>
      </c>
      <c r="M91">
        <v>-153.1009579884186</v>
      </c>
      <c r="N91">
        <v>370.5</v>
      </c>
      <c r="O91">
        <v>-523.6009579884186</v>
      </c>
    </row>
    <row r="92" spans="2:15" x14ac:dyDescent="0.55000000000000004">
      <c r="B92" s="8">
        <v>43752.340277777781</v>
      </c>
      <c r="C92">
        <v>4999.543000532216</v>
      </c>
      <c r="D92">
        <v>17998354.801915977</v>
      </c>
      <c r="E92">
        <v>-121.18095798841858</v>
      </c>
      <c r="F92">
        <v>402.42</v>
      </c>
      <c r="G92">
        <v>-523.6009579884186</v>
      </c>
      <c r="K92" s="8">
        <v>43752.340277777781</v>
      </c>
      <c r="L92">
        <f t="shared" si="1"/>
        <v>4.9995430005322161</v>
      </c>
      <c r="M92">
        <v>-121.18095798841858</v>
      </c>
      <c r="N92">
        <v>402.42</v>
      </c>
      <c r="O92">
        <v>-523.6009579884186</v>
      </c>
    </row>
    <row r="93" spans="2:15" x14ac:dyDescent="0.55000000000000004">
      <c r="B93" s="8">
        <v>43752.347222222219</v>
      </c>
      <c r="C93">
        <v>4999.5679952427681</v>
      </c>
      <c r="D93">
        <v>17998444.782873966</v>
      </c>
      <c r="E93">
        <v>-89.980957988418595</v>
      </c>
      <c r="F93">
        <v>433.62</v>
      </c>
      <c r="G93">
        <v>-523.6009579884186</v>
      </c>
      <c r="K93" s="8">
        <v>43752.347222222219</v>
      </c>
      <c r="L93">
        <f t="shared" si="1"/>
        <v>4.9995679952427681</v>
      </c>
      <c r="M93">
        <v>-89.980957988418595</v>
      </c>
      <c r="N93">
        <v>433.62</v>
      </c>
      <c r="O93">
        <v>-523.6009579884186</v>
      </c>
    </row>
    <row r="94" spans="2:15" x14ac:dyDescent="0.55000000000000004">
      <c r="B94" s="8">
        <v>43752.354166666664</v>
      </c>
      <c r="C94">
        <v>4999.5845566199869</v>
      </c>
      <c r="D94">
        <v>17998504.403831951</v>
      </c>
      <c r="E94">
        <v>-59.620957988418638</v>
      </c>
      <c r="F94">
        <v>463.97999999999996</v>
      </c>
      <c r="G94">
        <v>-523.6009579884186</v>
      </c>
      <c r="K94" s="8">
        <v>43752.354166666664</v>
      </c>
      <c r="L94">
        <f t="shared" si="1"/>
        <v>4.999584556619987</v>
      </c>
      <c r="M94">
        <v>-59.620957988418638</v>
      </c>
      <c r="N94">
        <v>463.97999999999996</v>
      </c>
      <c r="O94">
        <v>-523.6009579884186</v>
      </c>
    </row>
    <row r="95" spans="2:15" x14ac:dyDescent="0.55000000000000004">
      <c r="B95" s="8">
        <v>43752.361111111109</v>
      </c>
      <c r="C95">
        <v>4999.5929346638723</v>
      </c>
      <c r="D95">
        <v>17998534.56478994</v>
      </c>
      <c r="E95">
        <v>-30.160957988418659</v>
      </c>
      <c r="F95">
        <v>493.43999999999994</v>
      </c>
      <c r="G95">
        <v>-523.6009579884186</v>
      </c>
      <c r="K95" s="8">
        <v>43752.361111111109</v>
      </c>
      <c r="L95">
        <f t="shared" si="1"/>
        <v>4.9995929346638723</v>
      </c>
      <c r="M95">
        <v>-30.160957988418659</v>
      </c>
      <c r="N95">
        <v>493.43999999999994</v>
      </c>
      <c r="O95">
        <v>-523.6009579884186</v>
      </c>
    </row>
    <row r="96" spans="2:15" x14ac:dyDescent="0.55000000000000004">
      <c r="B96" s="8">
        <v>43752.368055555555</v>
      </c>
      <c r="C96">
        <v>4999.593412707758</v>
      </c>
      <c r="D96">
        <v>17998536.28574793</v>
      </c>
      <c r="E96">
        <v>-1.7209579884186041</v>
      </c>
      <c r="F96">
        <v>521.88</v>
      </c>
      <c r="G96">
        <v>-523.6009579884186</v>
      </c>
      <c r="K96" s="8">
        <v>43752.368055555555</v>
      </c>
      <c r="L96">
        <f t="shared" si="1"/>
        <v>4.9995934127077577</v>
      </c>
      <c r="M96">
        <v>-1.7209579884186041</v>
      </c>
      <c r="N96">
        <v>521.88</v>
      </c>
      <c r="O96">
        <v>-523.6009579884186</v>
      </c>
    </row>
    <row r="97" spans="2:15" x14ac:dyDescent="0.55000000000000004">
      <c r="B97" s="8">
        <v>43752.375</v>
      </c>
      <c r="C97">
        <v>4999.5862907516439</v>
      </c>
      <c r="D97">
        <v>17998510.646705918</v>
      </c>
      <c r="E97">
        <v>25.639042011581409</v>
      </c>
      <c r="F97">
        <v>549.24</v>
      </c>
      <c r="G97">
        <v>-523.6009579884186</v>
      </c>
      <c r="K97" s="8">
        <v>43752.375</v>
      </c>
      <c r="L97">
        <f t="shared" si="1"/>
        <v>4.999586290751644</v>
      </c>
      <c r="M97">
        <v>25.639042011581409</v>
      </c>
      <c r="N97">
        <v>549.24</v>
      </c>
      <c r="O97">
        <v>-523.6009579884186</v>
      </c>
    </row>
    <row r="98" spans="2:15" x14ac:dyDescent="0.55000000000000004">
      <c r="B98" s="8">
        <v>43752.381944444445</v>
      </c>
      <c r="C98">
        <v>4999.5718854621964</v>
      </c>
      <c r="D98">
        <v>17998458.787663907</v>
      </c>
      <c r="E98">
        <v>51.859042011581437</v>
      </c>
      <c r="F98">
        <v>575.46</v>
      </c>
      <c r="G98">
        <v>-523.6009579884186</v>
      </c>
      <c r="K98" s="8">
        <v>43752.381944444445</v>
      </c>
      <c r="L98">
        <f t="shared" si="1"/>
        <v>4.9995718854621964</v>
      </c>
      <c r="M98">
        <v>51.859042011581437</v>
      </c>
      <c r="N98">
        <v>575.46</v>
      </c>
      <c r="O98">
        <v>-523.6009579884186</v>
      </c>
    </row>
    <row r="99" spans="2:15" x14ac:dyDescent="0.55000000000000004">
      <c r="B99" s="8">
        <v>43752.388888888891</v>
      </c>
      <c r="C99">
        <v>4999.5505135060812</v>
      </c>
      <c r="D99">
        <v>17998381.848621894</v>
      </c>
      <c r="E99">
        <v>76.939042011581364</v>
      </c>
      <c r="F99">
        <v>600.54</v>
      </c>
      <c r="G99">
        <v>-523.6009579884186</v>
      </c>
      <c r="K99" s="8">
        <v>43752.388888888891</v>
      </c>
      <c r="L99">
        <f t="shared" si="1"/>
        <v>4.9995505135060814</v>
      </c>
      <c r="M99">
        <v>76.939042011581364</v>
      </c>
      <c r="N99">
        <v>600.54</v>
      </c>
      <c r="O99">
        <v>-523.6009579884186</v>
      </c>
    </row>
    <row r="100" spans="2:15" x14ac:dyDescent="0.55000000000000004">
      <c r="B100" s="8">
        <v>43752.395833333336</v>
      </c>
      <c r="C100">
        <v>4999.5225415499672</v>
      </c>
      <c r="D100">
        <v>17998281.149579883</v>
      </c>
      <c r="E100">
        <v>100.69904201158135</v>
      </c>
      <c r="F100">
        <v>624.29999999999995</v>
      </c>
      <c r="G100">
        <v>-523.6009579884186</v>
      </c>
      <c r="K100" s="8">
        <v>43752.395833333336</v>
      </c>
      <c r="L100">
        <f t="shared" si="1"/>
        <v>4.9995225415499673</v>
      </c>
      <c r="M100">
        <v>100.69904201158135</v>
      </c>
      <c r="N100">
        <v>624.29999999999995</v>
      </c>
      <c r="O100">
        <v>-523.6009579884186</v>
      </c>
    </row>
    <row r="101" spans="2:15" x14ac:dyDescent="0.55000000000000004">
      <c r="B101" s="8">
        <v>43752.402777777781</v>
      </c>
      <c r="C101">
        <v>4999.4883029271869</v>
      </c>
      <c r="D101">
        <v>17998157.890537873</v>
      </c>
      <c r="E101">
        <v>123.2590420115813</v>
      </c>
      <c r="F101">
        <v>646.8599999999999</v>
      </c>
      <c r="G101">
        <v>-523.6009579884186</v>
      </c>
      <c r="K101" s="8">
        <v>43752.402777777781</v>
      </c>
      <c r="L101">
        <f t="shared" si="1"/>
        <v>4.9994883029271868</v>
      </c>
      <c r="M101">
        <v>123.2590420115813</v>
      </c>
      <c r="N101">
        <v>646.8599999999999</v>
      </c>
      <c r="O101">
        <v>-523.6009579884186</v>
      </c>
    </row>
    <row r="102" spans="2:15" x14ac:dyDescent="0.55000000000000004">
      <c r="B102" s="8">
        <v>43752.409722222219</v>
      </c>
      <c r="C102">
        <v>4999.4481809710724</v>
      </c>
      <c r="D102">
        <v>17998013.45149586</v>
      </c>
      <c r="E102">
        <v>144.43904201158148</v>
      </c>
      <c r="F102">
        <v>668.04000000000008</v>
      </c>
      <c r="G102">
        <v>-523.6009579884186</v>
      </c>
      <c r="K102" s="8">
        <v>43752.409722222219</v>
      </c>
      <c r="L102">
        <f t="shared" si="1"/>
        <v>4.999448180971072</v>
      </c>
      <c r="M102">
        <v>144.43904201158148</v>
      </c>
      <c r="N102">
        <v>668.04000000000008</v>
      </c>
      <c r="O102">
        <v>-523.6009579884186</v>
      </c>
    </row>
    <row r="103" spans="2:15" x14ac:dyDescent="0.55000000000000004">
      <c r="B103" s="8">
        <v>43752.416666666664</v>
      </c>
      <c r="C103">
        <v>4999.4025756816245</v>
      </c>
      <c r="D103">
        <v>17997849.272453848</v>
      </c>
      <c r="E103">
        <v>164.17904201158137</v>
      </c>
      <c r="F103">
        <v>687.78</v>
      </c>
      <c r="G103">
        <v>-523.6009579884186</v>
      </c>
      <c r="K103" s="8">
        <v>43752.416666666664</v>
      </c>
      <c r="L103">
        <f t="shared" si="1"/>
        <v>4.9994025756816249</v>
      </c>
      <c r="M103">
        <v>164.17904201158137</v>
      </c>
      <c r="N103">
        <v>687.78</v>
      </c>
      <c r="O103">
        <v>-523.6009579884186</v>
      </c>
    </row>
    <row r="104" spans="2:15" x14ac:dyDescent="0.55000000000000004">
      <c r="B104" s="8">
        <v>43752.423611111109</v>
      </c>
      <c r="C104">
        <v>4999.3518703921773</v>
      </c>
      <c r="D104">
        <v>17997666.733411837</v>
      </c>
      <c r="E104">
        <v>182.53904201158139</v>
      </c>
      <c r="F104">
        <v>706.14</v>
      </c>
      <c r="G104">
        <v>-523.6009579884186</v>
      </c>
      <c r="K104" s="8">
        <v>43752.423611111109</v>
      </c>
      <c r="L104">
        <f t="shared" si="1"/>
        <v>4.9993518703921769</v>
      </c>
      <c r="M104">
        <v>182.53904201158139</v>
      </c>
      <c r="N104">
        <v>706.14</v>
      </c>
      <c r="O104">
        <v>-523.6009579884186</v>
      </c>
    </row>
    <row r="105" spans="2:15" x14ac:dyDescent="0.55000000000000004">
      <c r="B105" s="8">
        <v>43752.430555555555</v>
      </c>
      <c r="C105">
        <v>4999.3764886224835</v>
      </c>
      <c r="D105">
        <v>17997755.359040942</v>
      </c>
      <c r="E105">
        <v>-88.625629104970699</v>
      </c>
      <c r="F105">
        <v>723</v>
      </c>
      <c r="G105">
        <v>-811.6256291049707</v>
      </c>
      <c r="K105" s="8">
        <v>43752.430555555555</v>
      </c>
      <c r="L105">
        <f t="shared" si="1"/>
        <v>4.9993764886224836</v>
      </c>
      <c r="M105">
        <v>-88.625629104970699</v>
      </c>
      <c r="N105">
        <v>723</v>
      </c>
      <c r="O105">
        <v>-811.6256291049707</v>
      </c>
    </row>
    <row r="106" spans="2:15" x14ac:dyDescent="0.55000000000000004">
      <c r="B106" s="8">
        <v>43752.4375</v>
      </c>
      <c r="C106">
        <v>4999.3968235194579</v>
      </c>
      <c r="D106">
        <v>17997828.564670049</v>
      </c>
      <c r="E106">
        <v>-73.20562910497074</v>
      </c>
      <c r="F106">
        <v>738.42</v>
      </c>
      <c r="G106">
        <v>-811.6256291049707</v>
      </c>
      <c r="K106" s="8">
        <v>43752.4375</v>
      </c>
      <c r="L106">
        <f t="shared" si="1"/>
        <v>4.9993968235194579</v>
      </c>
      <c r="M106">
        <v>-73.20562910497074</v>
      </c>
      <c r="N106">
        <v>738.42</v>
      </c>
      <c r="O106">
        <v>-811.6256291049707</v>
      </c>
    </row>
    <row r="107" spans="2:15" x14ac:dyDescent="0.55000000000000004">
      <c r="B107" s="8">
        <v>43752.444444444445</v>
      </c>
      <c r="C107">
        <v>4999.4133084164314</v>
      </c>
      <c r="D107">
        <v>17997887.910299152</v>
      </c>
      <c r="E107">
        <v>-59.345629104970726</v>
      </c>
      <c r="F107">
        <v>752.28</v>
      </c>
      <c r="G107">
        <v>-811.6256291049707</v>
      </c>
      <c r="K107" s="8">
        <v>43752.444444444445</v>
      </c>
      <c r="L107">
        <f t="shared" si="1"/>
        <v>4.9994133084164316</v>
      </c>
      <c r="M107">
        <v>-59.345629104970726</v>
      </c>
      <c r="N107">
        <v>752.28</v>
      </c>
      <c r="O107">
        <v>-811.6256291049707</v>
      </c>
    </row>
    <row r="108" spans="2:15" x14ac:dyDescent="0.55000000000000004">
      <c r="B108" s="8">
        <v>43752.451388888891</v>
      </c>
      <c r="C108">
        <v>4999.4263933134052</v>
      </c>
      <c r="D108">
        <v>17997935.015928257</v>
      </c>
      <c r="E108">
        <v>-47.105629104970717</v>
      </c>
      <c r="F108">
        <v>764.52</v>
      </c>
      <c r="G108">
        <v>-811.6256291049707</v>
      </c>
      <c r="K108" s="8">
        <v>43752.451388888891</v>
      </c>
      <c r="L108">
        <f t="shared" si="1"/>
        <v>4.9994263933134055</v>
      </c>
      <c r="M108">
        <v>-47.105629104970717</v>
      </c>
      <c r="N108">
        <v>764.52</v>
      </c>
      <c r="O108">
        <v>-811.6256291049707</v>
      </c>
    </row>
    <row r="109" spans="2:15" x14ac:dyDescent="0.55000000000000004">
      <c r="B109" s="8">
        <v>43752.458333333336</v>
      </c>
      <c r="C109">
        <v>4999.4364948770444</v>
      </c>
      <c r="D109">
        <v>17997971.38155736</v>
      </c>
      <c r="E109">
        <v>-36.365629104970822</v>
      </c>
      <c r="F109">
        <v>775.25999999999988</v>
      </c>
      <c r="G109">
        <v>-811.6256291049707</v>
      </c>
      <c r="K109" s="8">
        <v>43752.458333333336</v>
      </c>
      <c r="L109">
        <f t="shared" si="1"/>
        <v>4.9994364948770444</v>
      </c>
      <c r="M109">
        <v>-36.365629104970822</v>
      </c>
      <c r="N109">
        <v>775.25999999999988</v>
      </c>
      <c r="O109">
        <v>-811.6256291049707</v>
      </c>
    </row>
    <row r="110" spans="2:15" x14ac:dyDescent="0.55000000000000004">
      <c r="B110" s="8">
        <v>43752.465277777781</v>
      </c>
      <c r="C110">
        <v>4999.444079774019</v>
      </c>
      <c r="D110">
        <v>17997998.687186468</v>
      </c>
      <c r="E110">
        <v>-27.305629104970649</v>
      </c>
      <c r="F110">
        <v>784.32</v>
      </c>
      <c r="G110">
        <v>-811.6256291049707</v>
      </c>
      <c r="K110" s="8">
        <v>43752.465277777781</v>
      </c>
      <c r="L110">
        <f t="shared" si="1"/>
        <v>4.9994440797740189</v>
      </c>
      <c r="M110">
        <v>-27.305629104970649</v>
      </c>
      <c r="N110">
        <v>784.32</v>
      </c>
      <c r="O110">
        <v>-811.6256291049707</v>
      </c>
    </row>
    <row r="111" spans="2:15" x14ac:dyDescent="0.55000000000000004">
      <c r="B111" s="8">
        <v>43752.472222222219</v>
      </c>
      <c r="C111">
        <v>4999.4495980043257</v>
      </c>
      <c r="D111">
        <v>17998018.552815571</v>
      </c>
      <c r="E111">
        <v>-19.865629104970822</v>
      </c>
      <c r="F111">
        <v>791.75999999999988</v>
      </c>
      <c r="G111">
        <v>-811.6256291049707</v>
      </c>
      <c r="K111" s="8">
        <v>43752.472222222219</v>
      </c>
      <c r="L111">
        <f t="shared" si="1"/>
        <v>4.9994495980043254</v>
      </c>
      <c r="M111">
        <v>-19.865629104970822</v>
      </c>
      <c r="N111">
        <v>791.75999999999988</v>
      </c>
      <c r="O111">
        <v>-811.6256291049707</v>
      </c>
    </row>
    <row r="112" spans="2:15" x14ac:dyDescent="0.55000000000000004">
      <c r="B112" s="8">
        <v>43752.479166666664</v>
      </c>
      <c r="C112">
        <v>4999.453499567966</v>
      </c>
      <c r="D112">
        <v>17998032.598444678</v>
      </c>
      <c r="E112">
        <v>-14.045629104970772</v>
      </c>
      <c r="F112">
        <v>797.57999999999993</v>
      </c>
      <c r="G112">
        <v>-811.6256291049707</v>
      </c>
      <c r="K112" s="8">
        <v>43752.479166666664</v>
      </c>
      <c r="L112">
        <f t="shared" si="1"/>
        <v>4.9994534995679656</v>
      </c>
      <c r="M112">
        <v>-14.045629104970772</v>
      </c>
      <c r="N112">
        <v>797.57999999999993</v>
      </c>
      <c r="O112">
        <v>-811.6256291049707</v>
      </c>
    </row>
    <row r="113" spans="2:15" x14ac:dyDescent="0.55000000000000004">
      <c r="B113" s="8">
        <v>43752.486111111109</v>
      </c>
      <c r="C113">
        <v>4999.4562344649394</v>
      </c>
      <c r="D113">
        <v>17998042.444073781</v>
      </c>
      <c r="E113">
        <v>-9.8456291049707261</v>
      </c>
      <c r="F113">
        <v>801.78</v>
      </c>
      <c r="G113">
        <v>-811.6256291049707</v>
      </c>
      <c r="K113" s="8">
        <v>43752.486111111109</v>
      </c>
      <c r="L113">
        <f t="shared" si="1"/>
        <v>4.9994562344649394</v>
      </c>
      <c r="M113">
        <v>-9.8456291049707261</v>
      </c>
      <c r="N113">
        <v>801.78</v>
      </c>
      <c r="O113">
        <v>-811.6256291049707</v>
      </c>
    </row>
    <row r="114" spans="2:15" x14ac:dyDescent="0.55000000000000004">
      <c r="B114" s="8">
        <v>43752.493055555555</v>
      </c>
      <c r="C114">
        <v>4999.4582693619122</v>
      </c>
      <c r="D114">
        <v>17998049.769702885</v>
      </c>
      <c r="E114">
        <v>-7.3256291049707443</v>
      </c>
      <c r="F114">
        <v>804.3</v>
      </c>
      <c r="G114">
        <v>-811.6256291049707</v>
      </c>
      <c r="K114" s="8">
        <v>43752.493055555555</v>
      </c>
      <c r="L114">
        <f t="shared" si="1"/>
        <v>4.9994582693619121</v>
      </c>
      <c r="M114">
        <v>-7.3256291049707443</v>
      </c>
      <c r="N114">
        <v>804.3</v>
      </c>
      <c r="O114">
        <v>-811.6256291049707</v>
      </c>
    </row>
    <row r="115" spans="2:15" x14ac:dyDescent="0.55000000000000004">
      <c r="B115" s="8">
        <v>43752.5</v>
      </c>
      <c r="C115">
        <v>4999.4600875922197</v>
      </c>
      <c r="D115">
        <v>17998056.315331992</v>
      </c>
      <c r="E115">
        <v>-6.5456291049707716</v>
      </c>
      <c r="F115">
        <v>805.07999999999993</v>
      </c>
      <c r="G115">
        <v>-811.6256291049707</v>
      </c>
      <c r="K115" s="8">
        <v>43752.5</v>
      </c>
      <c r="L115">
        <f t="shared" si="1"/>
        <v>4.9994600875922197</v>
      </c>
      <c r="M115">
        <v>-6.5456291049707716</v>
      </c>
      <c r="N115">
        <v>805.07999999999993</v>
      </c>
      <c r="O115">
        <v>-811.6256291049707</v>
      </c>
    </row>
    <row r="116" spans="2:15" x14ac:dyDescent="0.55000000000000004">
      <c r="B116" s="8">
        <v>43752.506944444445</v>
      </c>
      <c r="C116">
        <v>4999.4621224891935</v>
      </c>
      <c r="D116">
        <v>17998063.640961096</v>
      </c>
      <c r="E116">
        <v>-7.3256291049707443</v>
      </c>
      <c r="F116">
        <v>804.3</v>
      </c>
      <c r="G116">
        <v>-811.6256291049707</v>
      </c>
      <c r="K116" s="8">
        <v>43752.506944444445</v>
      </c>
      <c r="L116">
        <f t="shared" si="1"/>
        <v>4.9994621224891933</v>
      </c>
      <c r="M116">
        <v>-7.3256291049707443</v>
      </c>
      <c r="N116">
        <v>804.3</v>
      </c>
      <c r="O116">
        <v>-811.6256291049707</v>
      </c>
    </row>
    <row r="117" spans="2:15" x14ac:dyDescent="0.55000000000000004">
      <c r="B117" s="8">
        <v>43752.513888888891</v>
      </c>
      <c r="C117">
        <v>4999.4648573861678</v>
      </c>
      <c r="D117">
        <v>17998073.486590203</v>
      </c>
      <c r="E117">
        <v>-9.8456291049707261</v>
      </c>
      <c r="F117">
        <v>801.78</v>
      </c>
      <c r="G117">
        <v>-811.6256291049707</v>
      </c>
      <c r="K117" s="8">
        <v>43752.513888888891</v>
      </c>
      <c r="L117">
        <f t="shared" si="1"/>
        <v>4.999464857386168</v>
      </c>
      <c r="M117">
        <v>-9.8456291049707261</v>
      </c>
      <c r="N117">
        <v>801.78</v>
      </c>
      <c r="O117">
        <v>-811.6256291049707</v>
      </c>
    </row>
    <row r="118" spans="2:15" x14ac:dyDescent="0.55000000000000004">
      <c r="B118" s="8">
        <v>43752.520833333336</v>
      </c>
      <c r="C118">
        <v>4999.4687589498071</v>
      </c>
      <c r="D118">
        <v>17998087.532219306</v>
      </c>
      <c r="E118">
        <v>-14.045629104970772</v>
      </c>
      <c r="F118">
        <v>797.57999999999993</v>
      </c>
      <c r="G118">
        <v>-811.6256291049707</v>
      </c>
      <c r="K118" s="8">
        <v>43752.520833333336</v>
      </c>
      <c r="L118">
        <f t="shared" si="1"/>
        <v>4.9994687589498072</v>
      </c>
      <c r="M118">
        <v>-14.045629104970772</v>
      </c>
      <c r="N118">
        <v>797.57999999999993</v>
      </c>
      <c r="O118">
        <v>-811.6256291049707</v>
      </c>
    </row>
    <row r="119" spans="2:15" x14ac:dyDescent="0.55000000000000004">
      <c r="B119" s="8">
        <v>43752.527777777781</v>
      </c>
      <c r="C119">
        <v>4999.474260513447</v>
      </c>
      <c r="D119">
        <v>17998107.33784841</v>
      </c>
      <c r="E119">
        <v>-19.805629104970649</v>
      </c>
      <c r="F119">
        <v>791.82</v>
      </c>
      <c r="G119">
        <v>-811.6256291049707</v>
      </c>
      <c r="K119" s="8">
        <v>43752.527777777781</v>
      </c>
      <c r="L119">
        <f t="shared" si="1"/>
        <v>4.9994742605134466</v>
      </c>
      <c r="M119">
        <v>-19.805629104970649</v>
      </c>
      <c r="N119">
        <v>791.82</v>
      </c>
      <c r="O119">
        <v>-811.6256291049707</v>
      </c>
    </row>
    <row r="120" spans="2:15" x14ac:dyDescent="0.55000000000000004">
      <c r="B120" s="8">
        <v>43752.534722222219</v>
      </c>
      <c r="C120">
        <v>4999.4818454104216</v>
      </c>
      <c r="D120">
        <v>17998134.643477518</v>
      </c>
      <c r="E120">
        <v>-27.305629104970649</v>
      </c>
      <c r="F120">
        <v>784.32</v>
      </c>
      <c r="G120">
        <v>-811.6256291049707</v>
      </c>
      <c r="K120" s="8">
        <v>43752.534722222219</v>
      </c>
      <c r="L120">
        <f t="shared" si="1"/>
        <v>4.999481845410422</v>
      </c>
      <c r="M120">
        <v>-27.305629104970649</v>
      </c>
      <c r="N120">
        <v>784.32</v>
      </c>
      <c r="O120">
        <v>-811.6256291049707</v>
      </c>
    </row>
    <row r="121" spans="2:15" x14ac:dyDescent="0.55000000000000004">
      <c r="B121" s="8">
        <v>43752.541666666664</v>
      </c>
      <c r="C121">
        <v>4999.4919469740616</v>
      </c>
      <c r="D121">
        <v>17998171.009106621</v>
      </c>
      <c r="E121">
        <v>-36.365629104970822</v>
      </c>
      <c r="F121">
        <v>775.25999999999988</v>
      </c>
      <c r="G121">
        <v>-811.6256291049707</v>
      </c>
      <c r="K121" s="8">
        <v>43752.541666666664</v>
      </c>
      <c r="L121">
        <f t="shared" si="1"/>
        <v>4.9994919469740617</v>
      </c>
      <c r="M121">
        <v>-36.365629104970822</v>
      </c>
      <c r="N121">
        <v>775.25999999999988</v>
      </c>
      <c r="O121">
        <v>-811.6256291049707</v>
      </c>
    </row>
    <row r="122" spans="2:15" x14ac:dyDescent="0.55000000000000004">
      <c r="B122" s="8">
        <v>43752.548611111109</v>
      </c>
      <c r="C122">
        <v>4999.5050152043686</v>
      </c>
      <c r="D122">
        <v>17998218.054735728</v>
      </c>
      <c r="E122">
        <v>-47.045629104970772</v>
      </c>
      <c r="F122">
        <v>764.57999999999993</v>
      </c>
      <c r="G122">
        <v>-811.6256291049707</v>
      </c>
      <c r="K122" s="8">
        <v>43752.548611111109</v>
      </c>
      <c r="L122">
        <f t="shared" si="1"/>
        <v>4.9995050152043685</v>
      </c>
      <c r="M122">
        <v>-47.045629104970772</v>
      </c>
      <c r="N122">
        <v>764.57999999999993</v>
      </c>
      <c r="O122">
        <v>-811.6256291049707</v>
      </c>
    </row>
    <row r="123" spans="2:15" x14ac:dyDescent="0.55000000000000004">
      <c r="B123" s="8">
        <v>43752.555555555555</v>
      </c>
      <c r="C123">
        <v>4999.5215001013421</v>
      </c>
      <c r="D123">
        <v>17998277.400364831</v>
      </c>
      <c r="E123">
        <v>-59.345629104970726</v>
      </c>
      <c r="F123">
        <v>752.28</v>
      </c>
      <c r="G123">
        <v>-811.6256291049707</v>
      </c>
      <c r="K123" s="8">
        <v>43752.555555555555</v>
      </c>
      <c r="L123">
        <f t="shared" si="1"/>
        <v>4.9995215001013422</v>
      </c>
      <c r="M123">
        <v>-59.345629104970726</v>
      </c>
      <c r="N123">
        <v>752.28</v>
      </c>
      <c r="O123">
        <v>-811.6256291049707</v>
      </c>
    </row>
    <row r="124" spans="2:15" x14ac:dyDescent="0.55000000000000004">
      <c r="B124" s="8">
        <v>43752.5625</v>
      </c>
      <c r="C124">
        <v>4999.5418349983156</v>
      </c>
      <c r="D124">
        <v>17998350.605993938</v>
      </c>
      <c r="E124">
        <v>-73.20562910497074</v>
      </c>
      <c r="F124">
        <v>738.42</v>
      </c>
      <c r="G124">
        <v>-811.6256291049707</v>
      </c>
      <c r="K124" s="8">
        <v>43752.5625</v>
      </c>
      <c r="L124">
        <f t="shared" si="1"/>
        <v>4.9995418349983156</v>
      </c>
      <c r="M124">
        <v>-73.20562910497074</v>
      </c>
      <c r="N124">
        <v>738.42</v>
      </c>
      <c r="O124">
        <v>-811.6256291049707</v>
      </c>
    </row>
    <row r="125" spans="2:15" x14ac:dyDescent="0.55000000000000004">
      <c r="B125" s="8">
        <v>43752.569444444445</v>
      </c>
      <c r="C125">
        <v>4999.5664365619559</v>
      </c>
      <c r="D125">
        <v>17998439.17162304</v>
      </c>
      <c r="E125">
        <v>-88.565629104970753</v>
      </c>
      <c r="F125">
        <v>723.06</v>
      </c>
      <c r="G125">
        <v>-811.6256291049707</v>
      </c>
      <c r="K125" s="8">
        <v>43752.569444444445</v>
      </c>
      <c r="L125">
        <f t="shared" si="1"/>
        <v>4.9995664365619561</v>
      </c>
      <c r="M125">
        <v>-88.565629104970753</v>
      </c>
      <c r="N125">
        <v>723.06</v>
      </c>
      <c r="O125">
        <v>-811.6256291049707</v>
      </c>
    </row>
    <row r="126" spans="2:15" x14ac:dyDescent="0.55000000000000004">
      <c r="B126" s="8">
        <v>43752.576388888891</v>
      </c>
      <c r="C126">
        <v>4999.5957381255967</v>
      </c>
      <c r="D126">
        <v>17998544.657252148</v>
      </c>
      <c r="E126">
        <v>-105.48562910497071</v>
      </c>
      <c r="F126">
        <v>706.14</v>
      </c>
      <c r="G126">
        <v>-811.6256291049707</v>
      </c>
      <c r="K126" s="8">
        <v>43752.576388888891</v>
      </c>
      <c r="L126">
        <f t="shared" si="1"/>
        <v>4.9995957381255964</v>
      </c>
      <c r="M126">
        <v>-105.48562910497071</v>
      </c>
      <c r="N126">
        <v>706.14</v>
      </c>
      <c r="O126">
        <v>-811.6256291049707</v>
      </c>
    </row>
    <row r="127" spans="2:15" x14ac:dyDescent="0.55000000000000004">
      <c r="B127" s="8">
        <v>43752.583333333336</v>
      </c>
      <c r="C127">
        <v>4999.6301230225699</v>
      </c>
      <c r="D127">
        <v>17998668.442881253</v>
      </c>
      <c r="E127">
        <v>-123.78562910497067</v>
      </c>
      <c r="F127">
        <v>687.84</v>
      </c>
      <c r="G127">
        <v>-811.6256291049707</v>
      </c>
      <c r="K127" s="8">
        <v>43752.583333333336</v>
      </c>
      <c r="L127">
        <f t="shared" si="1"/>
        <v>4.9996301230225697</v>
      </c>
      <c r="M127">
        <v>-123.78562910497067</v>
      </c>
      <c r="N127">
        <v>687.84</v>
      </c>
      <c r="O127">
        <v>-811.6256291049707</v>
      </c>
    </row>
    <row r="128" spans="2:15" x14ac:dyDescent="0.55000000000000004">
      <c r="B128" s="8">
        <v>43752.590277777781</v>
      </c>
      <c r="C128">
        <v>4999.6700079195443</v>
      </c>
      <c r="D128">
        <v>17998812.028510358</v>
      </c>
      <c r="E128">
        <v>-143.58562910497062</v>
      </c>
      <c r="F128">
        <v>668.04000000000008</v>
      </c>
      <c r="G128">
        <v>-811.6256291049707</v>
      </c>
      <c r="K128" s="8">
        <v>43752.590277777781</v>
      </c>
      <c r="L128">
        <f t="shared" si="1"/>
        <v>4.9996700079195442</v>
      </c>
      <c r="M128">
        <v>-143.58562910497062</v>
      </c>
      <c r="N128">
        <v>668.04000000000008</v>
      </c>
      <c r="O128">
        <v>-811.6256291049707</v>
      </c>
    </row>
    <row r="129" spans="2:15" x14ac:dyDescent="0.55000000000000004">
      <c r="B129" s="8">
        <v>43752.597222222219</v>
      </c>
      <c r="C129">
        <v>4999.7157761498502</v>
      </c>
      <c r="D129">
        <v>17998976.79413946</v>
      </c>
      <c r="E129">
        <v>-164.7656291049708</v>
      </c>
      <c r="F129">
        <v>646.8599999999999</v>
      </c>
      <c r="G129">
        <v>-811.6256291049707</v>
      </c>
      <c r="K129" s="8">
        <v>43752.597222222219</v>
      </c>
      <c r="L129">
        <f t="shared" si="1"/>
        <v>4.9997157761498503</v>
      </c>
      <c r="M129">
        <v>-164.7656291049708</v>
      </c>
      <c r="N129">
        <v>646.8599999999999</v>
      </c>
      <c r="O129">
        <v>-811.6256291049707</v>
      </c>
    </row>
    <row r="130" spans="2:15" x14ac:dyDescent="0.55000000000000004">
      <c r="B130" s="8">
        <v>43752.604166666664</v>
      </c>
      <c r="C130">
        <v>4999.7677943801573</v>
      </c>
      <c r="D130">
        <v>17999164.059768565</v>
      </c>
      <c r="E130">
        <v>-187.2656291049708</v>
      </c>
      <c r="F130">
        <v>624.3599999999999</v>
      </c>
      <c r="G130">
        <v>-811.6256291049707</v>
      </c>
      <c r="K130" s="8">
        <v>43752.604166666664</v>
      </c>
      <c r="L130">
        <f t="shared" si="1"/>
        <v>4.9997677943801575</v>
      </c>
      <c r="M130">
        <v>-187.2656291049708</v>
      </c>
      <c r="N130">
        <v>624.3599999999999</v>
      </c>
      <c r="O130">
        <v>-811.6256291049707</v>
      </c>
    </row>
    <row r="131" spans="2:15" x14ac:dyDescent="0.55000000000000004">
      <c r="B131" s="8">
        <v>43752.611111111109</v>
      </c>
      <c r="C131">
        <v>4999.826429277131</v>
      </c>
      <c r="D131">
        <v>17999375.145397671</v>
      </c>
      <c r="E131">
        <v>-211.08562910497074</v>
      </c>
      <c r="F131">
        <v>600.54</v>
      </c>
      <c r="G131">
        <v>-811.6256291049707</v>
      </c>
      <c r="K131" s="8">
        <v>43752.611111111109</v>
      </c>
      <c r="L131">
        <f t="shared" si="1"/>
        <v>4.9998264292771308</v>
      </c>
      <c r="M131">
        <v>-211.08562910497074</v>
      </c>
      <c r="N131">
        <v>600.54</v>
      </c>
      <c r="O131">
        <v>-811.6256291049707</v>
      </c>
    </row>
    <row r="132" spans="2:15" x14ac:dyDescent="0.55000000000000004">
      <c r="B132" s="8">
        <v>43752.618055555555</v>
      </c>
      <c r="C132">
        <v>4999.8920308407714</v>
      </c>
      <c r="D132">
        <v>17999611.311026778</v>
      </c>
      <c r="E132">
        <v>-236.16562910497066</v>
      </c>
      <c r="F132">
        <v>575.46</v>
      </c>
      <c r="G132">
        <v>-811.6256291049707</v>
      </c>
      <c r="K132" s="8">
        <v>43752.618055555555</v>
      </c>
      <c r="L132">
        <f t="shared" si="1"/>
        <v>4.9998920308407717</v>
      </c>
      <c r="M132">
        <v>-236.16562910497066</v>
      </c>
      <c r="N132">
        <v>575.46</v>
      </c>
      <c r="O132">
        <v>-811.6256291049707</v>
      </c>
    </row>
    <row r="133" spans="2:15" x14ac:dyDescent="0.55000000000000004">
      <c r="B133" s="8">
        <v>43752.625</v>
      </c>
      <c r="C133">
        <v>4999.9649157377444</v>
      </c>
      <c r="D133">
        <v>17999873.696655881</v>
      </c>
      <c r="E133">
        <v>-262.38562910497069</v>
      </c>
      <c r="F133">
        <v>549.24</v>
      </c>
      <c r="G133">
        <v>-811.6256291049707</v>
      </c>
      <c r="K133" s="8">
        <v>43752.625</v>
      </c>
      <c r="L133">
        <f t="shared" si="1"/>
        <v>4.9999649157377446</v>
      </c>
      <c r="M133">
        <v>-262.38562910497069</v>
      </c>
      <c r="N133">
        <v>549.24</v>
      </c>
      <c r="O133">
        <v>-811.6256291049707</v>
      </c>
    </row>
    <row r="134" spans="2:15" x14ac:dyDescent="0.55000000000000004">
      <c r="B134" s="8">
        <v>43752.631944444445</v>
      </c>
      <c r="C134">
        <v>5000.0454006347181</v>
      </c>
      <c r="D134">
        <v>18000163.442284986</v>
      </c>
      <c r="E134">
        <v>-289.7456291049707</v>
      </c>
      <c r="F134">
        <v>521.88</v>
      </c>
      <c r="G134">
        <v>-811.6256291049707</v>
      </c>
      <c r="K134" s="8">
        <v>43752.631944444445</v>
      </c>
      <c r="L134">
        <f t="shared" si="1"/>
        <v>5.0000454006347184</v>
      </c>
      <c r="M134">
        <v>-289.7456291049707</v>
      </c>
      <c r="N134">
        <v>521.88</v>
      </c>
      <c r="O134">
        <v>-811.6256291049707</v>
      </c>
    </row>
    <row r="135" spans="2:15" x14ac:dyDescent="0.55000000000000004">
      <c r="B135" s="8">
        <v>43752.638888888891</v>
      </c>
      <c r="C135">
        <v>5000.1337855316915</v>
      </c>
      <c r="D135">
        <v>18000481.62791409</v>
      </c>
      <c r="E135">
        <v>-318.18562910497076</v>
      </c>
      <c r="F135">
        <v>493.43999999999994</v>
      </c>
      <c r="G135">
        <v>-811.6256291049707</v>
      </c>
      <c r="K135" s="8">
        <v>43752.638888888891</v>
      </c>
      <c r="L135">
        <f t="shared" ref="L135:L157" si="2">C135/1000</f>
        <v>5.0001337855316912</v>
      </c>
      <c r="M135">
        <v>-318.18562910497076</v>
      </c>
      <c r="N135">
        <v>493.43999999999994</v>
      </c>
      <c r="O135">
        <v>-811.6256291049707</v>
      </c>
    </row>
    <row r="136" spans="2:15" x14ac:dyDescent="0.55000000000000004">
      <c r="B136" s="8">
        <v>43752.645833333336</v>
      </c>
      <c r="C136">
        <v>5000.2303370953323</v>
      </c>
      <c r="D136">
        <v>18000829.213543195</v>
      </c>
      <c r="E136">
        <v>-347.58562910497074</v>
      </c>
      <c r="F136">
        <v>464.03999999999996</v>
      </c>
      <c r="G136">
        <v>-811.6256291049707</v>
      </c>
      <c r="K136" s="8">
        <v>43752.645833333336</v>
      </c>
      <c r="L136">
        <f t="shared" si="2"/>
        <v>5.0002303370953323</v>
      </c>
      <c r="M136">
        <v>-347.58562910497074</v>
      </c>
      <c r="N136">
        <v>464.03999999999996</v>
      </c>
      <c r="O136">
        <v>-811.6256291049707</v>
      </c>
    </row>
    <row r="137" spans="2:15" x14ac:dyDescent="0.55000000000000004">
      <c r="B137" s="8">
        <v>43752.652777777781</v>
      </c>
      <c r="C137">
        <v>5000.3353219923056</v>
      </c>
      <c r="D137">
        <v>18001207.1591723</v>
      </c>
      <c r="E137">
        <v>-377.94562910497075</v>
      </c>
      <c r="F137">
        <v>433.67999999999995</v>
      </c>
      <c r="G137">
        <v>-811.6256291049707</v>
      </c>
      <c r="K137" s="8">
        <v>43752.652777777781</v>
      </c>
      <c r="L137">
        <f t="shared" si="2"/>
        <v>5.0003353219923055</v>
      </c>
      <c r="M137">
        <v>-377.94562910497075</v>
      </c>
      <c r="N137">
        <v>433.67999999999995</v>
      </c>
      <c r="O137">
        <v>-811.6256291049707</v>
      </c>
    </row>
    <row r="138" spans="2:15" x14ac:dyDescent="0.55000000000000004">
      <c r="B138" s="8">
        <v>43752.659722222219</v>
      </c>
      <c r="C138">
        <v>5000.4489735559455</v>
      </c>
      <c r="D138">
        <v>18001616.304801404</v>
      </c>
      <c r="E138">
        <v>-409.14562910497074</v>
      </c>
      <c r="F138">
        <v>402.47999999999996</v>
      </c>
      <c r="G138">
        <v>-811.6256291049707</v>
      </c>
      <c r="K138" s="8">
        <v>43752.659722222219</v>
      </c>
      <c r="L138">
        <f t="shared" si="2"/>
        <v>5.0004489735559456</v>
      </c>
      <c r="M138">
        <v>-409.14562910497074</v>
      </c>
      <c r="N138">
        <v>402.47999999999996</v>
      </c>
      <c r="O138">
        <v>-811.6256291049707</v>
      </c>
    </row>
    <row r="139" spans="2:15" x14ac:dyDescent="0.55000000000000004">
      <c r="B139" s="8">
        <v>43752.666666666664</v>
      </c>
      <c r="C139">
        <v>5000.5715084529202</v>
      </c>
      <c r="D139">
        <v>18002057.430430513</v>
      </c>
      <c r="E139">
        <v>-441.1256291049707</v>
      </c>
      <c r="F139">
        <v>370.5</v>
      </c>
      <c r="G139">
        <v>-811.6256291049707</v>
      </c>
      <c r="K139" s="8">
        <v>43752.666666666664</v>
      </c>
      <c r="L139">
        <f t="shared" si="2"/>
        <v>5.0005715084529205</v>
      </c>
      <c r="M139">
        <v>-441.1256291049707</v>
      </c>
      <c r="N139">
        <v>370.5</v>
      </c>
      <c r="O139">
        <v>-811.6256291049707</v>
      </c>
    </row>
    <row r="140" spans="2:15" x14ac:dyDescent="0.55000000000000004">
      <c r="B140" s="8">
        <v>43752.673611111109</v>
      </c>
      <c r="C140">
        <v>5000.7030933498936</v>
      </c>
      <c r="D140">
        <v>18002531.136059616</v>
      </c>
      <c r="E140">
        <v>-473.70562910497068</v>
      </c>
      <c r="F140">
        <v>337.92</v>
      </c>
      <c r="G140">
        <v>-811.6256291049707</v>
      </c>
      <c r="K140" s="8">
        <v>43752.673611111109</v>
      </c>
      <c r="L140">
        <f t="shared" si="2"/>
        <v>5.0007030933498937</v>
      </c>
      <c r="M140">
        <v>-473.70562910497068</v>
      </c>
      <c r="N140">
        <v>337.92</v>
      </c>
      <c r="O140">
        <v>-811.6256291049707</v>
      </c>
    </row>
    <row r="141" spans="2:15" x14ac:dyDescent="0.55000000000000004">
      <c r="B141" s="8">
        <v>43752.680555555555</v>
      </c>
      <c r="C141">
        <v>5000.8438949135343</v>
      </c>
      <c r="D141">
        <v>18003038.021688722</v>
      </c>
      <c r="E141">
        <v>-506.88562910497075</v>
      </c>
      <c r="F141">
        <v>304.73999999999995</v>
      </c>
      <c r="G141">
        <v>-811.6256291049707</v>
      </c>
      <c r="K141" s="8">
        <v>43752.680555555555</v>
      </c>
      <c r="L141">
        <f t="shared" si="2"/>
        <v>5.0008438949135341</v>
      </c>
      <c r="M141">
        <v>-506.88562910497075</v>
      </c>
      <c r="N141">
        <v>304.73999999999995</v>
      </c>
      <c r="O141">
        <v>-811.6256291049707</v>
      </c>
    </row>
    <row r="142" spans="2:15" x14ac:dyDescent="0.55000000000000004">
      <c r="B142" s="8">
        <v>43752.6875</v>
      </c>
      <c r="C142">
        <v>5000.9940131438407</v>
      </c>
      <c r="D142">
        <v>18003578.447317827</v>
      </c>
      <c r="E142">
        <v>-540.42562910497077</v>
      </c>
      <c r="F142">
        <v>271.2</v>
      </c>
      <c r="G142">
        <v>-811.6256291049707</v>
      </c>
      <c r="K142" s="8">
        <v>43752.6875</v>
      </c>
      <c r="L142">
        <f t="shared" si="2"/>
        <v>5.0009940131438411</v>
      </c>
      <c r="M142">
        <v>-540.42562910497077</v>
      </c>
      <c r="N142">
        <v>271.2</v>
      </c>
      <c r="O142">
        <v>-811.6256291049707</v>
      </c>
    </row>
    <row r="143" spans="2:15" x14ac:dyDescent="0.55000000000000004">
      <c r="B143" s="8">
        <v>43752.694444444445</v>
      </c>
      <c r="C143">
        <v>5001.1535480408147</v>
      </c>
      <c r="D143">
        <v>18004152.772946931</v>
      </c>
      <c r="E143">
        <v>-574.32562910497074</v>
      </c>
      <c r="F143">
        <v>237.29999999999998</v>
      </c>
      <c r="G143">
        <v>-811.6256291049707</v>
      </c>
      <c r="K143" s="8">
        <v>43752.694444444445</v>
      </c>
      <c r="L143">
        <f t="shared" si="2"/>
        <v>5.0011535480408149</v>
      </c>
      <c r="M143">
        <v>-574.32562910497074</v>
      </c>
      <c r="N143">
        <v>237.29999999999998</v>
      </c>
      <c r="O143">
        <v>-811.6256291049707</v>
      </c>
    </row>
    <row r="144" spans="2:15" x14ac:dyDescent="0.55000000000000004">
      <c r="B144" s="8">
        <v>43752.701388888891</v>
      </c>
      <c r="C144">
        <v>5001.3224996044546</v>
      </c>
      <c r="D144">
        <v>18004760.998576038</v>
      </c>
      <c r="E144">
        <v>-608.22562910497072</v>
      </c>
      <c r="F144">
        <v>203.4</v>
      </c>
      <c r="G144">
        <v>-811.6256291049707</v>
      </c>
      <c r="K144" s="8">
        <v>43752.701388888891</v>
      </c>
      <c r="L144">
        <f t="shared" si="2"/>
        <v>5.0013224996044547</v>
      </c>
      <c r="M144">
        <v>-608.22562910497072</v>
      </c>
      <c r="N144">
        <v>203.4</v>
      </c>
      <c r="O144">
        <v>-811.6256291049707</v>
      </c>
    </row>
    <row r="145" spans="2:15" x14ac:dyDescent="0.55000000000000004">
      <c r="B145" s="8">
        <v>43752.708333333336</v>
      </c>
      <c r="C145">
        <v>5001.5008345014285</v>
      </c>
      <c r="D145">
        <v>18005403.004205141</v>
      </c>
      <c r="E145">
        <v>-642.00562910497069</v>
      </c>
      <c r="F145">
        <v>169.61999999999998</v>
      </c>
      <c r="G145">
        <v>-811.6256291049707</v>
      </c>
      <c r="K145" s="8">
        <v>43752.708333333336</v>
      </c>
      <c r="L145">
        <f t="shared" si="2"/>
        <v>5.0015008345014289</v>
      </c>
      <c r="M145">
        <v>-642.00562910497069</v>
      </c>
      <c r="N145">
        <v>169.61999999999998</v>
      </c>
      <c r="O145">
        <v>-811.6256291049707</v>
      </c>
    </row>
    <row r="146" spans="2:15" x14ac:dyDescent="0.55000000000000004">
      <c r="B146" s="8">
        <v>43752.715277777781</v>
      </c>
      <c r="C146">
        <v>5001.4629845014279</v>
      </c>
      <c r="D146">
        <v>18005266.74420514</v>
      </c>
      <c r="E146">
        <v>136.26</v>
      </c>
      <c r="F146">
        <v>136.26</v>
      </c>
      <c r="G146">
        <v>0</v>
      </c>
      <c r="K146" s="8">
        <v>43752.715277777781</v>
      </c>
      <c r="L146">
        <f t="shared" si="2"/>
        <v>5.001462984501428</v>
      </c>
      <c r="M146">
        <v>136.26</v>
      </c>
      <c r="N146">
        <v>136.26</v>
      </c>
      <c r="O146">
        <v>0</v>
      </c>
    </row>
    <row r="147" spans="2:15" x14ac:dyDescent="0.55000000000000004">
      <c r="B147" s="8">
        <v>43752.722222222219</v>
      </c>
      <c r="C147">
        <v>5001.4341178347613</v>
      </c>
      <c r="D147">
        <v>18005162.824205142</v>
      </c>
      <c r="E147">
        <v>103.91999999999999</v>
      </c>
      <c r="F147">
        <v>103.91999999999999</v>
      </c>
      <c r="G147">
        <v>0</v>
      </c>
      <c r="K147" s="8">
        <v>43752.722222222219</v>
      </c>
      <c r="L147">
        <f t="shared" si="2"/>
        <v>5.0014341178347612</v>
      </c>
      <c r="M147">
        <v>103.91999999999999</v>
      </c>
      <c r="N147">
        <v>103.91999999999999</v>
      </c>
      <c r="O147">
        <v>0</v>
      </c>
    </row>
    <row r="148" spans="2:15" x14ac:dyDescent="0.55000000000000004">
      <c r="B148" s="8">
        <v>43752.729166666664</v>
      </c>
      <c r="C148">
        <v>5001.4138011680943</v>
      </c>
      <c r="D148">
        <v>18005089.684205141</v>
      </c>
      <c r="E148">
        <v>73.14</v>
      </c>
      <c r="F148">
        <v>73.14</v>
      </c>
      <c r="G148">
        <v>0</v>
      </c>
      <c r="K148" s="8">
        <v>43752.729166666664</v>
      </c>
      <c r="L148">
        <f t="shared" si="2"/>
        <v>5.001413801168094</v>
      </c>
      <c r="M148">
        <v>73.14</v>
      </c>
      <c r="N148">
        <v>73.14</v>
      </c>
      <c r="O148">
        <v>0</v>
      </c>
    </row>
    <row r="149" spans="2:15" x14ac:dyDescent="0.55000000000000004">
      <c r="B149" s="8">
        <v>43752.736111111109</v>
      </c>
      <c r="C149">
        <v>5001.4012845014286</v>
      </c>
      <c r="D149">
        <v>18005044.624205142</v>
      </c>
      <c r="E149">
        <v>45.059999999999995</v>
      </c>
      <c r="F149">
        <v>45.059999999999995</v>
      </c>
      <c r="G149">
        <v>0</v>
      </c>
      <c r="K149" s="8">
        <v>43752.736111111109</v>
      </c>
      <c r="L149">
        <f t="shared" si="2"/>
        <v>5.0014012845014282</v>
      </c>
      <c r="M149">
        <v>45.059999999999995</v>
      </c>
      <c r="N149">
        <v>45.059999999999995</v>
      </c>
      <c r="O149">
        <v>0</v>
      </c>
    </row>
    <row r="150" spans="2:15" x14ac:dyDescent="0.55000000000000004">
      <c r="B150" s="8">
        <v>43752.743055555555</v>
      </c>
      <c r="C150">
        <v>5001.3952845014283</v>
      </c>
      <c r="D150">
        <v>18005023.024205141</v>
      </c>
      <c r="E150">
        <v>21.599999999999998</v>
      </c>
      <c r="F150">
        <v>21.599999999999998</v>
      </c>
      <c r="G150">
        <v>0</v>
      </c>
      <c r="K150" s="8">
        <v>43752.743055555555</v>
      </c>
      <c r="L150">
        <f t="shared" si="2"/>
        <v>5.0013952845014282</v>
      </c>
      <c r="M150">
        <v>21.599999999999998</v>
      </c>
      <c r="N150">
        <v>21.599999999999998</v>
      </c>
      <c r="O150">
        <v>0</v>
      </c>
    </row>
    <row r="151" spans="2:15" x14ac:dyDescent="0.55000000000000004">
      <c r="B151" s="8">
        <v>43752.75</v>
      </c>
      <c r="C151">
        <v>5001.3936511680949</v>
      </c>
      <c r="D151">
        <v>18005017.144205142</v>
      </c>
      <c r="E151">
        <v>5.88</v>
      </c>
      <c r="F151">
        <v>5.88</v>
      </c>
      <c r="G151">
        <v>0</v>
      </c>
      <c r="K151" s="8">
        <v>43752.75</v>
      </c>
      <c r="L151">
        <f t="shared" si="2"/>
        <v>5.0013936511680948</v>
      </c>
      <c r="M151">
        <v>5.88</v>
      </c>
      <c r="N151">
        <v>5.88</v>
      </c>
      <c r="O151">
        <v>0</v>
      </c>
    </row>
    <row r="152" spans="2:15" x14ac:dyDescent="0.55000000000000004">
      <c r="B152" s="8">
        <v>43752.756944444445</v>
      </c>
      <c r="C152">
        <v>5001.3936511680949</v>
      </c>
      <c r="D152">
        <v>18005017.144205142</v>
      </c>
      <c r="E152">
        <v>0</v>
      </c>
      <c r="G152">
        <v>0</v>
      </c>
      <c r="K152" s="8">
        <v>43752.756944444445</v>
      </c>
      <c r="L152">
        <f t="shared" si="2"/>
        <v>5.0013936511680948</v>
      </c>
      <c r="M152">
        <v>0</v>
      </c>
      <c r="O152">
        <v>0</v>
      </c>
    </row>
    <row r="153" spans="2:15" x14ac:dyDescent="0.55000000000000004">
      <c r="B153" s="8">
        <v>43752.763888888891</v>
      </c>
      <c r="C153">
        <v>5001.3936511680949</v>
      </c>
      <c r="D153">
        <v>18005017.144205142</v>
      </c>
      <c r="E153">
        <v>0</v>
      </c>
      <c r="G153">
        <v>0</v>
      </c>
      <c r="K153" s="8">
        <v>43752.763888888891</v>
      </c>
      <c r="L153">
        <f t="shared" si="2"/>
        <v>5.0013936511680948</v>
      </c>
      <c r="M153">
        <v>0</v>
      </c>
      <c r="O153">
        <v>0</v>
      </c>
    </row>
    <row r="154" spans="2:15" x14ac:dyDescent="0.55000000000000004">
      <c r="B154" s="8">
        <v>43752.770833333336</v>
      </c>
      <c r="C154">
        <v>5001.3936511680949</v>
      </c>
      <c r="D154">
        <v>18005017.144205142</v>
      </c>
      <c r="E154">
        <v>0</v>
      </c>
      <c r="G154">
        <v>0</v>
      </c>
      <c r="K154" s="8">
        <v>43752.770833333336</v>
      </c>
      <c r="L154">
        <f t="shared" si="2"/>
        <v>5.0013936511680948</v>
      </c>
      <c r="M154">
        <v>0</v>
      </c>
      <c r="O154">
        <v>0</v>
      </c>
    </row>
    <row r="155" spans="2:15" x14ac:dyDescent="0.55000000000000004">
      <c r="B155" s="8">
        <v>43752.777777777781</v>
      </c>
      <c r="C155">
        <v>5001.3936511680949</v>
      </c>
      <c r="D155">
        <v>18005017.144205142</v>
      </c>
      <c r="E155">
        <v>0</v>
      </c>
      <c r="G155">
        <v>0</v>
      </c>
      <c r="K155" s="8">
        <v>43752.777777777781</v>
      </c>
      <c r="L155">
        <f t="shared" si="2"/>
        <v>5.0013936511680948</v>
      </c>
      <c r="M155">
        <v>0</v>
      </c>
      <c r="O155">
        <v>0</v>
      </c>
    </row>
    <row r="156" spans="2:15" x14ac:dyDescent="0.55000000000000004">
      <c r="B156" s="8">
        <v>43752.784722222219</v>
      </c>
      <c r="C156">
        <v>5001.3936511680949</v>
      </c>
      <c r="D156">
        <v>18005017.144205142</v>
      </c>
      <c r="E156">
        <v>0</v>
      </c>
      <c r="G156">
        <v>0</v>
      </c>
      <c r="K156" s="8">
        <v>43752.784722222219</v>
      </c>
      <c r="L156">
        <f t="shared" si="2"/>
        <v>5.0013936511680948</v>
      </c>
      <c r="M156">
        <v>0</v>
      </c>
      <c r="O156">
        <v>0</v>
      </c>
    </row>
    <row r="157" spans="2:15" x14ac:dyDescent="0.55000000000000004">
      <c r="B157" s="8">
        <v>43752.791666666664</v>
      </c>
      <c r="C157">
        <v>5001.3936511680949</v>
      </c>
      <c r="D157">
        <v>18005017.144205142</v>
      </c>
      <c r="E157">
        <v>0</v>
      </c>
      <c r="G157">
        <v>0</v>
      </c>
      <c r="K157" s="8">
        <v>43752.791666666664</v>
      </c>
      <c r="L157">
        <f t="shared" si="2"/>
        <v>5.0013936511680948</v>
      </c>
      <c r="M157">
        <v>0</v>
      </c>
      <c r="O157">
        <v>0</v>
      </c>
    </row>
    <row r="158" spans="2:15" x14ac:dyDescent="0.55000000000000004">
      <c r="B158" s="8"/>
    </row>
    <row r="159" spans="2:15" x14ac:dyDescent="0.55000000000000004">
      <c r="B159" s="8"/>
    </row>
    <row r="160" spans="2:15" x14ac:dyDescent="0.55000000000000004">
      <c r="B160" s="8"/>
    </row>
    <row r="161" spans="2:2" x14ac:dyDescent="0.55000000000000004">
      <c r="B161" s="8"/>
    </row>
    <row r="162" spans="2:2" x14ac:dyDescent="0.55000000000000004">
      <c r="B162" s="8"/>
    </row>
    <row r="163" spans="2:2" x14ac:dyDescent="0.55000000000000004">
      <c r="B163" s="8"/>
    </row>
    <row r="164" spans="2:2" x14ac:dyDescent="0.55000000000000004">
      <c r="B164" s="8"/>
    </row>
    <row r="165" spans="2:2" x14ac:dyDescent="0.55000000000000004">
      <c r="B165" s="8"/>
    </row>
    <row r="166" spans="2:2" x14ac:dyDescent="0.55000000000000004">
      <c r="B166" s="8"/>
    </row>
    <row r="167" spans="2:2" x14ac:dyDescent="0.55000000000000004">
      <c r="B167" s="8"/>
    </row>
    <row r="168" spans="2:2" x14ac:dyDescent="0.55000000000000004">
      <c r="B168" s="8"/>
    </row>
    <row r="169" spans="2:2" x14ac:dyDescent="0.55000000000000004">
      <c r="B169" s="8"/>
    </row>
    <row r="170" spans="2:2" x14ac:dyDescent="0.55000000000000004">
      <c r="B170" s="8"/>
    </row>
    <row r="171" spans="2:2" x14ac:dyDescent="0.55000000000000004">
      <c r="B171" s="8"/>
    </row>
    <row r="172" spans="2:2" x14ac:dyDescent="0.55000000000000004">
      <c r="B172" s="8"/>
    </row>
    <row r="173" spans="2:2" x14ac:dyDescent="0.55000000000000004">
      <c r="B173" s="8"/>
    </row>
    <row r="174" spans="2:2" x14ac:dyDescent="0.55000000000000004">
      <c r="B174" s="8"/>
    </row>
    <row r="175" spans="2:2" x14ac:dyDescent="0.55000000000000004">
      <c r="B175" s="8"/>
    </row>
    <row r="176" spans="2:2" x14ac:dyDescent="0.55000000000000004">
      <c r="B176" s="8"/>
    </row>
    <row r="177" spans="2:2" x14ac:dyDescent="0.55000000000000004">
      <c r="B177" s="8"/>
    </row>
    <row r="178" spans="2:2" x14ac:dyDescent="0.55000000000000004">
      <c r="B178" s="8"/>
    </row>
    <row r="179" spans="2:2" x14ac:dyDescent="0.55000000000000004">
      <c r="B179" s="8"/>
    </row>
    <row r="180" spans="2:2" x14ac:dyDescent="0.55000000000000004">
      <c r="B180" s="8"/>
    </row>
    <row r="181" spans="2:2" x14ac:dyDescent="0.55000000000000004">
      <c r="B181" s="8"/>
    </row>
    <row r="182" spans="2:2" x14ac:dyDescent="0.55000000000000004">
      <c r="B182" s="8"/>
    </row>
    <row r="183" spans="2:2" x14ac:dyDescent="0.55000000000000004">
      <c r="B183" s="8"/>
    </row>
    <row r="184" spans="2:2" x14ac:dyDescent="0.55000000000000004">
      <c r="B184" s="8"/>
    </row>
    <row r="185" spans="2:2" x14ac:dyDescent="0.55000000000000004">
      <c r="B185" s="8"/>
    </row>
    <row r="186" spans="2:2" x14ac:dyDescent="0.55000000000000004">
      <c r="B186" s="8"/>
    </row>
    <row r="187" spans="2:2" x14ac:dyDescent="0.55000000000000004">
      <c r="B187" s="8"/>
    </row>
    <row r="188" spans="2:2" x14ac:dyDescent="0.55000000000000004">
      <c r="B188" s="8"/>
    </row>
    <row r="189" spans="2:2" x14ac:dyDescent="0.55000000000000004">
      <c r="B189" s="8"/>
    </row>
    <row r="190" spans="2:2" x14ac:dyDescent="0.55000000000000004">
      <c r="B190" s="8"/>
    </row>
    <row r="191" spans="2:2" x14ac:dyDescent="0.55000000000000004">
      <c r="B191" s="8"/>
    </row>
    <row r="192" spans="2:2" x14ac:dyDescent="0.55000000000000004">
      <c r="B192" s="8"/>
    </row>
    <row r="193" spans="2:2" x14ac:dyDescent="0.55000000000000004">
      <c r="B193" s="8"/>
    </row>
    <row r="194" spans="2:2" x14ac:dyDescent="0.55000000000000004">
      <c r="B194" s="8"/>
    </row>
    <row r="195" spans="2:2" x14ac:dyDescent="0.55000000000000004">
      <c r="B195" s="8"/>
    </row>
    <row r="196" spans="2:2" x14ac:dyDescent="0.55000000000000004">
      <c r="B196" s="8"/>
    </row>
    <row r="197" spans="2:2" x14ac:dyDescent="0.55000000000000004">
      <c r="B197" s="8"/>
    </row>
    <row r="198" spans="2:2" x14ac:dyDescent="0.55000000000000004">
      <c r="B198" s="8"/>
    </row>
    <row r="199" spans="2:2" x14ac:dyDescent="0.55000000000000004">
      <c r="B199" s="8"/>
    </row>
    <row r="200" spans="2:2" x14ac:dyDescent="0.55000000000000004">
      <c r="B200" s="8"/>
    </row>
    <row r="201" spans="2:2" x14ac:dyDescent="0.55000000000000004">
      <c r="B201" s="8"/>
    </row>
    <row r="202" spans="2:2" x14ac:dyDescent="0.55000000000000004">
      <c r="B202" s="8"/>
    </row>
    <row r="203" spans="2:2" x14ac:dyDescent="0.55000000000000004">
      <c r="B203" s="8"/>
    </row>
    <row r="204" spans="2:2" x14ac:dyDescent="0.55000000000000004">
      <c r="B204" s="8"/>
    </row>
    <row r="205" spans="2:2" x14ac:dyDescent="0.55000000000000004">
      <c r="B205" s="8"/>
    </row>
    <row r="206" spans="2:2" x14ac:dyDescent="0.55000000000000004">
      <c r="B206" s="8"/>
    </row>
    <row r="207" spans="2:2" x14ac:dyDescent="0.55000000000000004">
      <c r="B207" s="8"/>
    </row>
    <row r="208" spans="2:2" x14ac:dyDescent="0.55000000000000004">
      <c r="B208" s="8"/>
    </row>
    <row r="209" spans="2:2" x14ac:dyDescent="0.55000000000000004">
      <c r="B209" s="8"/>
    </row>
    <row r="210" spans="2:2" x14ac:dyDescent="0.55000000000000004">
      <c r="B210" s="8"/>
    </row>
    <row r="211" spans="2:2" x14ac:dyDescent="0.55000000000000004">
      <c r="B211" s="8"/>
    </row>
    <row r="212" spans="2:2" x14ac:dyDescent="0.55000000000000004">
      <c r="B212" s="8"/>
    </row>
    <row r="213" spans="2:2" x14ac:dyDescent="0.55000000000000004">
      <c r="B213" s="8"/>
    </row>
    <row r="214" spans="2:2" x14ac:dyDescent="0.55000000000000004">
      <c r="B214" s="8"/>
    </row>
    <row r="215" spans="2:2" x14ac:dyDescent="0.55000000000000004">
      <c r="B215" s="8"/>
    </row>
    <row r="216" spans="2:2" x14ac:dyDescent="0.55000000000000004">
      <c r="B216" s="8"/>
    </row>
    <row r="217" spans="2:2" x14ac:dyDescent="0.55000000000000004">
      <c r="B217" s="8"/>
    </row>
    <row r="218" spans="2:2" x14ac:dyDescent="0.55000000000000004">
      <c r="B218" s="8"/>
    </row>
    <row r="219" spans="2:2" x14ac:dyDescent="0.55000000000000004">
      <c r="B219" s="8"/>
    </row>
    <row r="220" spans="2:2" x14ac:dyDescent="0.55000000000000004">
      <c r="B220" s="8"/>
    </row>
    <row r="221" spans="2:2" x14ac:dyDescent="0.55000000000000004">
      <c r="B221" s="8"/>
    </row>
    <row r="222" spans="2:2" x14ac:dyDescent="0.55000000000000004">
      <c r="B222" s="8"/>
    </row>
    <row r="796" spans="2:2" x14ac:dyDescent="0.55000000000000004">
      <c r="B796" s="8"/>
    </row>
    <row r="797" spans="2:2" x14ac:dyDescent="0.55000000000000004">
      <c r="B797" s="8"/>
    </row>
    <row r="798" spans="2:2" x14ac:dyDescent="0.55000000000000004">
      <c r="B798" s="8"/>
    </row>
    <row r="799" spans="2:2" x14ac:dyDescent="0.55000000000000004">
      <c r="B799" s="8"/>
    </row>
    <row r="800" spans="2:2" x14ac:dyDescent="0.55000000000000004">
      <c r="B800" s="8"/>
    </row>
    <row r="801" spans="2:2" x14ac:dyDescent="0.55000000000000004">
      <c r="B801" s="8"/>
    </row>
    <row r="802" spans="2:2" x14ac:dyDescent="0.55000000000000004">
      <c r="B802" s="8"/>
    </row>
    <row r="803" spans="2:2" x14ac:dyDescent="0.55000000000000004">
      <c r="B803" s="8"/>
    </row>
    <row r="804" spans="2:2" x14ac:dyDescent="0.55000000000000004">
      <c r="B804" s="8"/>
    </row>
    <row r="805" spans="2:2" x14ac:dyDescent="0.55000000000000004">
      <c r="B805" s="8"/>
    </row>
    <row r="806" spans="2:2" x14ac:dyDescent="0.55000000000000004">
      <c r="B806" s="8"/>
    </row>
    <row r="807" spans="2:2" x14ac:dyDescent="0.55000000000000004">
      <c r="B807" s="8"/>
    </row>
    <row r="808" spans="2:2" x14ac:dyDescent="0.55000000000000004">
      <c r="B808" s="8"/>
    </row>
    <row r="809" spans="2:2" x14ac:dyDescent="0.55000000000000004">
      <c r="B809" s="8"/>
    </row>
    <row r="810" spans="2:2" x14ac:dyDescent="0.55000000000000004">
      <c r="B810" s="8"/>
    </row>
    <row r="811" spans="2:2" x14ac:dyDescent="0.55000000000000004">
      <c r="B811" s="8"/>
    </row>
    <row r="812" spans="2:2" x14ac:dyDescent="0.55000000000000004">
      <c r="B812" s="8"/>
    </row>
    <row r="813" spans="2:2" x14ac:dyDescent="0.55000000000000004">
      <c r="B813" s="8"/>
    </row>
    <row r="814" spans="2:2" x14ac:dyDescent="0.55000000000000004">
      <c r="B814" s="8"/>
    </row>
    <row r="815" spans="2:2" x14ac:dyDescent="0.55000000000000004">
      <c r="B815" s="8"/>
    </row>
    <row r="816" spans="2:2" x14ac:dyDescent="0.55000000000000004">
      <c r="B816" s="8"/>
    </row>
    <row r="817" spans="2:2" x14ac:dyDescent="0.55000000000000004">
      <c r="B817" s="8"/>
    </row>
    <row r="818" spans="2:2" x14ac:dyDescent="0.55000000000000004">
      <c r="B818" s="8"/>
    </row>
    <row r="819" spans="2:2" x14ac:dyDescent="0.55000000000000004">
      <c r="B819" s="8"/>
    </row>
    <row r="820" spans="2:2" x14ac:dyDescent="0.55000000000000004">
      <c r="B820" s="8"/>
    </row>
    <row r="821" spans="2:2" x14ac:dyDescent="0.55000000000000004">
      <c r="B821" s="8"/>
    </row>
    <row r="822" spans="2:2" x14ac:dyDescent="0.55000000000000004">
      <c r="B822" s="8"/>
    </row>
    <row r="823" spans="2:2" x14ac:dyDescent="0.55000000000000004">
      <c r="B823" s="8"/>
    </row>
    <row r="824" spans="2:2" x14ac:dyDescent="0.55000000000000004">
      <c r="B824" s="8"/>
    </row>
    <row r="825" spans="2:2" x14ac:dyDescent="0.55000000000000004">
      <c r="B825" s="8"/>
    </row>
    <row r="826" spans="2:2" x14ac:dyDescent="0.55000000000000004">
      <c r="B826" s="8"/>
    </row>
    <row r="827" spans="2:2" x14ac:dyDescent="0.55000000000000004">
      <c r="B827" s="8"/>
    </row>
    <row r="828" spans="2:2" x14ac:dyDescent="0.55000000000000004">
      <c r="B828" s="8"/>
    </row>
    <row r="829" spans="2:2" x14ac:dyDescent="0.55000000000000004">
      <c r="B829" s="8"/>
    </row>
    <row r="830" spans="2:2" x14ac:dyDescent="0.55000000000000004">
      <c r="B830" s="8"/>
    </row>
    <row r="831" spans="2:2" x14ac:dyDescent="0.55000000000000004">
      <c r="B831" s="8"/>
    </row>
    <row r="832" spans="2:2" x14ac:dyDescent="0.55000000000000004">
      <c r="B832" s="8"/>
    </row>
    <row r="833" spans="2:2" x14ac:dyDescent="0.55000000000000004">
      <c r="B833" s="8"/>
    </row>
    <row r="834" spans="2:2" x14ac:dyDescent="0.55000000000000004">
      <c r="B834" s="8"/>
    </row>
    <row r="835" spans="2:2" x14ac:dyDescent="0.55000000000000004">
      <c r="B835" s="8"/>
    </row>
    <row r="836" spans="2:2" x14ac:dyDescent="0.55000000000000004">
      <c r="B836" s="8"/>
    </row>
    <row r="837" spans="2:2" x14ac:dyDescent="0.55000000000000004">
      <c r="B837" s="8"/>
    </row>
    <row r="838" spans="2:2" x14ac:dyDescent="0.55000000000000004">
      <c r="B838" s="8"/>
    </row>
    <row r="839" spans="2:2" x14ac:dyDescent="0.55000000000000004">
      <c r="B839" s="8"/>
    </row>
    <row r="840" spans="2:2" x14ac:dyDescent="0.55000000000000004">
      <c r="B840" s="8"/>
    </row>
    <row r="841" spans="2:2" x14ac:dyDescent="0.55000000000000004">
      <c r="B841" s="8"/>
    </row>
    <row r="842" spans="2:2" x14ac:dyDescent="0.55000000000000004">
      <c r="B842" s="8"/>
    </row>
    <row r="843" spans="2:2" x14ac:dyDescent="0.55000000000000004">
      <c r="B843" s="8"/>
    </row>
    <row r="844" spans="2:2" x14ac:dyDescent="0.55000000000000004">
      <c r="B844" s="8"/>
    </row>
    <row r="845" spans="2:2" x14ac:dyDescent="0.55000000000000004">
      <c r="B845" s="8"/>
    </row>
    <row r="846" spans="2:2" x14ac:dyDescent="0.55000000000000004">
      <c r="B846" s="8"/>
    </row>
    <row r="847" spans="2:2" x14ac:dyDescent="0.55000000000000004">
      <c r="B847" s="8"/>
    </row>
    <row r="848" spans="2:2" x14ac:dyDescent="0.55000000000000004">
      <c r="B848" s="8"/>
    </row>
    <row r="849" spans="2:2" x14ac:dyDescent="0.55000000000000004">
      <c r="B849" s="8"/>
    </row>
    <row r="850" spans="2:2" x14ac:dyDescent="0.55000000000000004">
      <c r="B850" s="8"/>
    </row>
    <row r="851" spans="2:2" x14ac:dyDescent="0.55000000000000004">
      <c r="B851" s="8"/>
    </row>
    <row r="852" spans="2:2" x14ac:dyDescent="0.55000000000000004">
      <c r="B852" s="8"/>
    </row>
    <row r="853" spans="2:2" x14ac:dyDescent="0.55000000000000004">
      <c r="B853" s="8"/>
    </row>
    <row r="854" spans="2:2" x14ac:dyDescent="0.55000000000000004">
      <c r="B854" s="8"/>
    </row>
    <row r="855" spans="2:2" x14ac:dyDescent="0.55000000000000004">
      <c r="B855" s="8"/>
    </row>
    <row r="856" spans="2:2" x14ac:dyDescent="0.55000000000000004">
      <c r="B856" s="8"/>
    </row>
    <row r="857" spans="2:2" x14ac:dyDescent="0.55000000000000004">
      <c r="B857" s="8"/>
    </row>
    <row r="858" spans="2:2" x14ac:dyDescent="0.55000000000000004">
      <c r="B858" s="8"/>
    </row>
    <row r="859" spans="2:2" x14ac:dyDescent="0.55000000000000004">
      <c r="B859" s="8"/>
    </row>
    <row r="860" spans="2:2" x14ac:dyDescent="0.55000000000000004">
      <c r="B860" s="8"/>
    </row>
    <row r="861" spans="2:2" x14ac:dyDescent="0.55000000000000004">
      <c r="B861" s="8"/>
    </row>
    <row r="862" spans="2:2" x14ac:dyDescent="0.55000000000000004">
      <c r="B862" s="8"/>
    </row>
    <row r="863" spans="2:2" x14ac:dyDescent="0.55000000000000004">
      <c r="B863" s="8"/>
    </row>
    <row r="864" spans="2:2" x14ac:dyDescent="0.55000000000000004">
      <c r="B864" s="8"/>
    </row>
    <row r="865" spans="2:2" x14ac:dyDescent="0.55000000000000004">
      <c r="B865" s="8"/>
    </row>
    <row r="866" spans="2:2" x14ac:dyDescent="0.55000000000000004">
      <c r="B866" s="8"/>
    </row>
    <row r="867" spans="2:2" x14ac:dyDescent="0.55000000000000004">
      <c r="B867" s="8"/>
    </row>
    <row r="868" spans="2:2" x14ac:dyDescent="0.55000000000000004">
      <c r="B868" s="8"/>
    </row>
    <row r="869" spans="2:2" x14ac:dyDescent="0.55000000000000004">
      <c r="B869" s="8"/>
    </row>
    <row r="870" spans="2:2" x14ac:dyDescent="0.55000000000000004">
      <c r="B870" s="8"/>
    </row>
    <row r="871" spans="2:2" x14ac:dyDescent="0.55000000000000004">
      <c r="B871" s="8"/>
    </row>
    <row r="872" spans="2:2" x14ac:dyDescent="0.55000000000000004">
      <c r="B872" s="8"/>
    </row>
    <row r="873" spans="2:2" x14ac:dyDescent="0.55000000000000004">
      <c r="B873" s="8"/>
    </row>
    <row r="874" spans="2:2" x14ac:dyDescent="0.55000000000000004">
      <c r="B874" s="8"/>
    </row>
  </sheetData>
  <mergeCells count="1">
    <mergeCell ref="K4:O4"/>
  </mergeCells>
  <phoneticPr fontId="1"/>
  <pageMargins left="0.7" right="0.7" top="0.75" bottom="0.75" header="0.3" footer="0.3"/>
  <pageSetup paperSize="9" orientation="portrait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3E41E2-4CD1-4673-8C9E-47611B4DC5DE}">
  <sheetPr codeName="Sheet4"/>
  <dimension ref="A1:T92"/>
  <sheetViews>
    <sheetView tabSelected="1" zoomScale="70" zoomScaleNormal="70" workbookViewId="0">
      <selection activeCell="I94" sqref="I93:I94"/>
    </sheetView>
  </sheetViews>
  <sheetFormatPr defaultRowHeight="18" x14ac:dyDescent="0.55000000000000004"/>
  <cols>
    <col min="2" max="2" width="16.4140625" style="3" bestFit="1" customWidth="1"/>
    <col min="3" max="3" width="15.5" customWidth="1"/>
    <col min="4" max="4" width="14.1640625" customWidth="1"/>
    <col min="11" max="11" width="22.25" customWidth="1"/>
  </cols>
  <sheetData>
    <row r="1" spans="1:20" x14ac:dyDescent="0.55000000000000004">
      <c r="A1" t="s">
        <v>1</v>
      </c>
      <c r="B1"/>
    </row>
    <row r="2" spans="1:20" x14ac:dyDescent="0.55000000000000004">
      <c r="A2" s="2" t="s">
        <v>2</v>
      </c>
      <c r="B2" s="1" t="s">
        <v>3</v>
      </c>
      <c r="C2" s="2" t="s">
        <v>2</v>
      </c>
      <c r="D2" s="1" t="s">
        <v>4</v>
      </c>
      <c r="E2" s="2" t="s">
        <v>2</v>
      </c>
      <c r="F2" s="1" t="s">
        <v>3</v>
      </c>
      <c r="G2" s="2" t="s">
        <v>2</v>
      </c>
      <c r="H2" s="1" t="s">
        <v>4</v>
      </c>
      <c r="I2" s="2" t="s">
        <v>2</v>
      </c>
      <c r="J2" s="1" t="s">
        <v>3</v>
      </c>
      <c r="K2" s="2" t="s">
        <v>2</v>
      </c>
      <c r="L2" s="1" t="s">
        <v>4</v>
      </c>
      <c r="M2" s="2" t="s">
        <v>2</v>
      </c>
      <c r="N2" s="1" t="s">
        <v>3</v>
      </c>
      <c r="O2" s="2" t="s">
        <v>2</v>
      </c>
      <c r="P2" s="1" t="s">
        <v>4</v>
      </c>
      <c r="Q2" s="2" t="s">
        <v>2</v>
      </c>
      <c r="R2" s="1" t="s">
        <v>3</v>
      </c>
      <c r="S2" s="2" t="s">
        <v>2</v>
      </c>
      <c r="T2" s="1" t="s">
        <v>4</v>
      </c>
    </row>
    <row r="3" spans="1:20" x14ac:dyDescent="0.55000000000000004">
      <c r="A3" s="1" t="s">
        <v>5</v>
      </c>
      <c r="B3" s="1" t="s">
        <v>0</v>
      </c>
      <c r="C3" s="1" t="s">
        <v>5</v>
      </c>
      <c r="D3" s="1" t="s">
        <v>0</v>
      </c>
      <c r="E3" s="1" t="s">
        <v>5</v>
      </c>
      <c r="F3" s="1" t="s">
        <v>0</v>
      </c>
      <c r="G3" s="1" t="s">
        <v>5</v>
      </c>
      <c r="H3" s="1" t="s">
        <v>0</v>
      </c>
      <c r="I3" s="1" t="s">
        <v>5</v>
      </c>
      <c r="J3" s="1" t="s">
        <v>0</v>
      </c>
      <c r="K3" s="1" t="s">
        <v>5</v>
      </c>
      <c r="L3" s="1" t="s">
        <v>0</v>
      </c>
      <c r="M3" s="1" t="s">
        <v>5</v>
      </c>
      <c r="N3" s="1" t="s">
        <v>0</v>
      </c>
      <c r="O3" s="1" t="s">
        <v>5</v>
      </c>
      <c r="P3" s="1" t="s">
        <v>0</v>
      </c>
      <c r="Q3" s="1" t="s">
        <v>5</v>
      </c>
      <c r="R3" s="1" t="s">
        <v>0</v>
      </c>
      <c r="S3" s="1" t="s">
        <v>5</v>
      </c>
      <c r="T3" s="1" t="s">
        <v>0</v>
      </c>
    </row>
    <row r="4" spans="1:20" x14ac:dyDescent="0.55000000000000004">
      <c r="A4" s="1"/>
      <c r="B4" s="1"/>
      <c r="C4" s="1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</row>
    <row r="5" spans="1:20" x14ac:dyDescent="0.55000000000000004">
      <c r="A5" t="s">
        <v>7</v>
      </c>
      <c r="B5" s="3" t="s">
        <v>8</v>
      </c>
      <c r="C5" t="s">
        <v>16</v>
      </c>
      <c r="D5" t="s">
        <v>11</v>
      </c>
      <c r="E5" t="s">
        <v>12</v>
      </c>
      <c r="F5" t="s">
        <v>13</v>
      </c>
      <c r="G5" t="s">
        <v>14</v>
      </c>
    </row>
    <row r="6" spans="1:20" x14ac:dyDescent="0.55000000000000004">
      <c r="B6" s="3">
        <v>43751.25</v>
      </c>
      <c r="C6">
        <v>4999.9986388888892</v>
      </c>
      <c r="D6">
        <v>17999995.100000001</v>
      </c>
      <c r="E6">
        <v>4.9000000000000004</v>
      </c>
      <c r="F6">
        <v>4.9000000000000004</v>
      </c>
      <c r="G6">
        <v>0</v>
      </c>
      <c r="K6" s="13" t="s">
        <v>28</v>
      </c>
      <c r="L6" s="1"/>
    </row>
    <row r="7" spans="1:20" x14ac:dyDescent="0.55000000000000004">
      <c r="B7" s="3">
        <v>43751.256944444445</v>
      </c>
      <c r="C7">
        <v>4999.9949999999999</v>
      </c>
      <c r="D7">
        <v>17999982</v>
      </c>
      <c r="E7">
        <v>18</v>
      </c>
      <c r="F7">
        <v>18</v>
      </c>
      <c r="G7">
        <v>0</v>
      </c>
      <c r="K7" s="13" t="s">
        <v>27</v>
      </c>
      <c r="L7" s="1"/>
    </row>
    <row r="8" spans="1:20" x14ac:dyDescent="0.55000000000000004">
      <c r="B8" s="3">
        <v>43751.263888888891</v>
      </c>
      <c r="C8">
        <v>4999.989569444444</v>
      </c>
      <c r="D8">
        <v>17999962.449999999</v>
      </c>
      <c r="E8">
        <v>37.549999999999997</v>
      </c>
      <c r="F8">
        <v>37.549999999999997</v>
      </c>
      <c r="G8">
        <v>0</v>
      </c>
      <c r="K8" s="13" t="s">
        <v>26</v>
      </c>
      <c r="L8" s="1"/>
    </row>
    <row r="9" spans="1:20" x14ac:dyDescent="0.55000000000000004">
      <c r="B9" s="3">
        <v>43751.270833333336</v>
      </c>
      <c r="C9">
        <v>4999.9830833333335</v>
      </c>
      <c r="D9">
        <v>17999939.100000001</v>
      </c>
      <c r="E9">
        <v>60.9</v>
      </c>
      <c r="F9">
        <v>60.9</v>
      </c>
      <c r="G9">
        <v>0</v>
      </c>
    </row>
    <row r="10" spans="1:20" x14ac:dyDescent="0.55000000000000004">
      <c r="B10" s="3">
        <v>43751.277777777781</v>
      </c>
      <c r="C10">
        <v>4999.9759583333334</v>
      </c>
      <c r="D10">
        <v>17999913.449999999</v>
      </c>
      <c r="E10">
        <v>86.55</v>
      </c>
      <c r="F10">
        <v>86.55</v>
      </c>
      <c r="G10">
        <v>0</v>
      </c>
    </row>
    <row r="11" spans="1:20" x14ac:dyDescent="0.55000000000000004">
      <c r="B11" s="3">
        <v>43751.284722222219</v>
      </c>
      <c r="C11">
        <v>4999.9684583333328</v>
      </c>
      <c r="D11">
        <v>17999886.449999999</v>
      </c>
      <c r="E11">
        <v>113.55</v>
      </c>
      <c r="F11">
        <v>113.55</v>
      </c>
      <c r="G11">
        <v>0</v>
      </c>
    </row>
    <row r="12" spans="1:20" x14ac:dyDescent="0.55000000000000004">
      <c r="B12" s="3">
        <v>43751.291666666664</v>
      </c>
      <c r="C12">
        <v>4999.9607500000002</v>
      </c>
      <c r="D12">
        <v>17999858.699999999</v>
      </c>
      <c r="E12">
        <v>141.30000000000001</v>
      </c>
      <c r="F12">
        <v>141.30000000000001</v>
      </c>
      <c r="G12">
        <v>0</v>
      </c>
    </row>
    <row r="13" spans="1:20" x14ac:dyDescent="0.55000000000000004">
      <c r="B13" s="3">
        <v>43751.298611111109</v>
      </c>
      <c r="C13">
        <v>4999.9529305555561</v>
      </c>
      <c r="D13">
        <v>17999830.550000001</v>
      </c>
      <c r="E13">
        <v>169.45</v>
      </c>
      <c r="F13">
        <v>169.45</v>
      </c>
      <c r="G13">
        <v>0</v>
      </c>
    </row>
    <row r="14" spans="1:20" x14ac:dyDescent="0.55000000000000004">
      <c r="B14" s="3">
        <v>43751.305555555555</v>
      </c>
      <c r="C14">
        <v>4999.945069444444</v>
      </c>
      <c r="D14">
        <v>17999802.25</v>
      </c>
      <c r="E14">
        <v>197.75</v>
      </c>
      <c r="F14">
        <v>197.75</v>
      </c>
      <c r="G14">
        <v>0</v>
      </c>
    </row>
    <row r="15" spans="1:20" x14ac:dyDescent="0.55000000000000004">
      <c r="B15" s="3">
        <v>43751.3125</v>
      </c>
      <c r="C15">
        <v>4999.9372361111109</v>
      </c>
      <c r="D15">
        <v>17999774.050000001</v>
      </c>
      <c r="E15">
        <v>225.95</v>
      </c>
      <c r="F15">
        <v>225.95</v>
      </c>
      <c r="G15">
        <v>0</v>
      </c>
    </row>
    <row r="16" spans="1:20" x14ac:dyDescent="0.55000000000000004">
      <c r="B16" s="3">
        <v>43751.319444444445</v>
      </c>
      <c r="C16">
        <v>4999.929458333334</v>
      </c>
      <c r="D16">
        <v>17999746.050000001</v>
      </c>
      <c r="E16">
        <v>253.95</v>
      </c>
      <c r="F16">
        <v>253.95</v>
      </c>
      <c r="G16">
        <v>0</v>
      </c>
    </row>
    <row r="17" spans="2:7" x14ac:dyDescent="0.55000000000000004">
      <c r="B17" s="3">
        <v>43751.326388888891</v>
      </c>
      <c r="C17">
        <v>4999.9217916666666</v>
      </c>
      <c r="D17">
        <v>17999718.449999999</v>
      </c>
      <c r="E17">
        <v>281.55</v>
      </c>
      <c r="F17">
        <v>281.55</v>
      </c>
      <c r="G17">
        <v>0</v>
      </c>
    </row>
    <row r="18" spans="2:7" x14ac:dyDescent="0.55000000000000004">
      <c r="B18" s="3">
        <v>43751.333333333336</v>
      </c>
      <c r="C18">
        <v>5000.1100730896587</v>
      </c>
      <c r="D18">
        <v>18000396.263122771</v>
      </c>
      <c r="E18">
        <v>-396.26312277163879</v>
      </c>
      <c r="F18">
        <v>308.75</v>
      </c>
      <c r="G18">
        <v>-705.01312277163879</v>
      </c>
    </row>
    <row r="19" spans="2:7" x14ac:dyDescent="0.55000000000000004">
      <c r="B19" s="3">
        <v>43751.340277777781</v>
      </c>
      <c r="C19">
        <v>5000.1026842007705</v>
      </c>
      <c r="D19">
        <v>18000369.663122773</v>
      </c>
      <c r="E19">
        <v>-369.66312277163877</v>
      </c>
      <c r="F19">
        <v>335.35</v>
      </c>
      <c r="G19">
        <v>-705.01312277163879</v>
      </c>
    </row>
    <row r="20" spans="2:7" x14ac:dyDescent="0.55000000000000004">
      <c r="B20" s="3">
        <v>43751.347222222219</v>
      </c>
      <c r="C20">
        <v>5000.095461978548</v>
      </c>
      <c r="D20">
        <v>18000343.663122773</v>
      </c>
      <c r="E20">
        <v>-343.66312277163877</v>
      </c>
      <c r="F20">
        <v>361.35</v>
      </c>
      <c r="G20">
        <v>-705.01312277163879</v>
      </c>
    </row>
    <row r="21" spans="2:7" x14ac:dyDescent="0.55000000000000004">
      <c r="B21" s="3">
        <v>43751.354166666664</v>
      </c>
      <c r="C21">
        <v>5000.0884342007703</v>
      </c>
      <c r="D21">
        <v>18000318.363122772</v>
      </c>
      <c r="E21">
        <v>-318.36312277163881</v>
      </c>
      <c r="F21">
        <v>386.65</v>
      </c>
      <c r="G21">
        <v>-705.01312277163879</v>
      </c>
    </row>
    <row r="22" spans="2:7" x14ac:dyDescent="0.55000000000000004">
      <c r="B22" s="3">
        <v>43751.361111111109</v>
      </c>
      <c r="C22">
        <v>5000.0816147563255</v>
      </c>
      <c r="D22">
        <v>18000293.813122772</v>
      </c>
      <c r="E22">
        <v>-293.8131227716388</v>
      </c>
      <c r="F22">
        <v>411.2</v>
      </c>
      <c r="G22">
        <v>-705.01312277163879</v>
      </c>
    </row>
    <row r="23" spans="2:7" x14ac:dyDescent="0.55000000000000004">
      <c r="B23" s="3">
        <v>43751.368055555555</v>
      </c>
      <c r="C23">
        <v>5000.0750314229927</v>
      </c>
      <c r="D23">
        <v>18000270.113122772</v>
      </c>
      <c r="E23">
        <v>-270.11312277163881</v>
      </c>
      <c r="F23">
        <v>434.9</v>
      </c>
      <c r="G23">
        <v>-705.01312277163879</v>
      </c>
    </row>
    <row r="24" spans="2:7" x14ac:dyDescent="0.55000000000000004">
      <c r="B24" s="3">
        <v>43751.375</v>
      </c>
      <c r="C24">
        <v>5000.0686980896589</v>
      </c>
      <c r="D24">
        <v>18000247.313122772</v>
      </c>
      <c r="E24">
        <v>-247.3131227716388</v>
      </c>
      <c r="F24">
        <v>457.7</v>
      </c>
      <c r="G24">
        <v>-705.01312277163879</v>
      </c>
    </row>
    <row r="25" spans="2:7" x14ac:dyDescent="0.55000000000000004">
      <c r="B25" s="3">
        <v>43751.381944444445</v>
      </c>
      <c r="C25">
        <v>5000.0626286452143</v>
      </c>
      <c r="D25">
        <v>18000225.46312277</v>
      </c>
      <c r="E25">
        <v>-225.46312277163878</v>
      </c>
      <c r="F25">
        <v>479.55</v>
      </c>
      <c r="G25">
        <v>-705.01312277163879</v>
      </c>
    </row>
    <row r="26" spans="2:7" x14ac:dyDescent="0.55000000000000004">
      <c r="B26" s="3">
        <v>43751.388888888891</v>
      </c>
      <c r="C26">
        <v>5000.0568230896588</v>
      </c>
      <c r="D26">
        <v>18000204.563122772</v>
      </c>
      <c r="E26">
        <v>-204.5631227716388</v>
      </c>
      <c r="F26">
        <v>500.45</v>
      </c>
      <c r="G26">
        <v>-705.01312277163879</v>
      </c>
    </row>
    <row r="27" spans="2:7" x14ac:dyDescent="0.55000000000000004">
      <c r="B27" s="3">
        <v>43751.395833333336</v>
      </c>
      <c r="C27">
        <v>5000.0513230896586</v>
      </c>
      <c r="D27">
        <v>18000184.763122771</v>
      </c>
      <c r="E27">
        <v>-184.76312277163879</v>
      </c>
      <c r="F27">
        <v>520.25</v>
      </c>
      <c r="G27">
        <v>-705.01312277163879</v>
      </c>
    </row>
    <row r="28" spans="2:7" x14ac:dyDescent="0.55000000000000004">
      <c r="B28" s="3">
        <v>43751.402777777781</v>
      </c>
      <c r="C28">
        <v>5000.0461008674365</v>
      </c>
      <c r="D28">
        <v>18000165.96312277</v>
      </c>
      <c r="E28">
        <v>-165.96312277163884</v>
      </c>
      <c r="F28">
        <v>539.04999999999995</v>
      </c>
      <c r="G28">
        <v>-705.01312277163879</v>
      </c>
    </row>
    <row r="29" spans="2:7" x14ac:dyDescent="0.55000000000000004">
      <c r="B29" s="3">
        <v>43751.409722222219</v>
      </c>
      <c r="C29">
        <v>5000.0411980896588</v>
      </c>
      <c r="D29">
        <v>18000148.313122772</v>
      </c>
      <c r="E29">
        <v>-148.31312277163875</v>
      </c>
      <c r="F29">
        <v>556.70000000000005</v>
      </c>
      <c r="G29">
        <v>-705.01312277163879</v>
      </c>
    </row>
    <row r="30" spans="2:7" x14ac:dyDescent="0.55000000000000004">
      <c r="B30" s="3">
        <v>43751.416666666664</v>
      </c>
      <c r="C30">
        <v>5000.0366286452145</v>
      </c>
      <c r="D30">
        <v>18000131.863122772</v>
      </c>
      <c r="E30">
        <v>-131.86312277163881</v>
      </c>
      <c r="F30">
        <v>573.15</v>
      </c>
      <c r="G30">
        <v>-705.01312277163879</v>
      </c>
    </row>
    <row r="31" spans="2:7" x14ac:dyDescent="0.55000000000000004">
      <c r="B31" s="3">
        <v>43751.423611111109</v>
      </c>
      <c r="C31">
        <v>5000.0323786452145</v>
      </c>
      <c r="D31">
        <v>18000116.563122772</v>
      </c>
      <c r="E31">
        <v>-116.56312277163875</v>
      </c>
      <c r="F31">
        <v>588.45000000000005</v>
      </c>
      <c r="G31">
        <v>-705.01312277163879</v>
      </c>
    </row>
    <row r="32" spans="2:7" x14ac:dyDescent="0.55000000000000004">
      <c r="B32" s="3">
        <v>43751.430555555555</v>
      </c>
      <c r="C32">
        <v>5000.0284758674361</v>
      </c>
      <c r="D32">
        <v>18000102.513122771</v>
      </c>
      <c r="E32">
        <v>-102.51312277163879</v>
      </c>
      <c r="F32">
        <v>602.5</v>
      </c>
      <c r="G32">
        <v>-705.01312277163879</v>
      </c>
    </row>
    <row r="33" spans="2:7" x14ac:dyDescent="0.55000000000000004">
      <c r="B33" s="3">
        <v>43751.4375</v>
      </c>
      <c r="C33">
        <v>5000.0249064229929</v>
      </c>
      <c r="D33">
        <v>18000089.663122773</v>
      </c>
      <c r="E33">
        <v>-89.663122771638768</v>
      </c>
      <c r="F33">
        <v>615.35</v>
      </c>
      <c r="G33">
        <v>-705.01312277163879</v>
      </c>
    </row>
    <row r="34" spans="2:7" x14ac:dyDescent="0.55000000000000004">
      <c r="B34" s="3">
        <v>43751.444444444445</v>
      </c>
      <c r="C34">
        <v>5000.0216980896594</v>
      </c>
      <c r="D34">
        <v>18000078.113122772</v>
      </c>
      <c r="E34">
        <v>-78.113122771638814</v>
      </c>
      <c r="F34">
        <v>626.9</v>
      </c>
      <c r="G34">
        <v>-705.01312277163879</v>
      </c>
    </row>
    <row r="35" spans="2:7" x14ac:dyDescent="0.55000000000000004">
      <c r="B35" s="3">
        <v>43751.451388888891</v>
      </c>
      <c r="C35">
        <v>5000.0188647563255</v>
      </c>
      <c r="D35">
        <v>18000067.913122773</v>
      </c>
      <c r="E35">
        <v>-67.913122771638768</v>
      </c>
      <c r="F35">
        <v>637.1</v>
      </c>
      <c r="G35">
        <v>-705.01312277163879</v>
      </c>
    </row>
    <row r="36" spans="2:7" x14ac:dyDescent="0.55000000000000004">
      <c r="B36" s="3">
        <v>43751.458333333336</v>
      </c>
      <c r="C36">
        <v>5000.016378645214</v>
      </c>
      <c r="D36">
        <v>18000058.96312277</v>
      </c>
      <c r="E36">
        <v>-58.963122771638837</v>
      </c>
      <c r="F36">
        <v>646.04999999999995</v>
      </c>
      <c r="G36">
        <v>-705.01312277163879</v>
      </c>
    </row>
    <row r="37" spans="2:7" x14ac:dyDescent="0.55000000000000004">
      <c r="B37" s="3">
        <v>43751.465277777781</v>
      </c>
      <c r="C37">
        <v>5000.0142814229921</v>
      </c>
      <c r="D37">
        <v>18000051.413122773</v>
      </c>
      <c r="E37">
        <v>-51.413122771638768</v>
      </c>
      <c r="F37">
        <v>653.6</v>
      </c>
      <c r="G37">
        <v>-705.01312277163879</v>
      </c>
    </row>
    <row r="38" spans="2:7" x14ac:dyDescent="0.55000000000000004">
      <c r="B38" s="3">
        <v>43751.472222222219</v>
      </c>
      <c r="C38">
        <v>5000.0125592007698</v>
      </c>
      <c r="D38">
        <v>18000045.21312277</v>
      </c>
      <c r="E38">
        <v>-45.213122771638837</v>
      </c>
      <c r="F38">
        <v>659.8</v>
      </c>
      <c r="G38">
        <v>-705.01312277163879</v>
      </c>
    </row>
    <row r="39" spans="2:7" x14ac:dyDescent="0.55000000000000004">
      <c r="B39" s="3">
        <v>43751.479166666664</v>
      </c>
      <c r="C39">
        <v>5000.0112119785481</v>
      </c>
      <c r="D39">
        <v>18000040.363122772</v>
      </c>
      <c r="E39">
        <v>-40.363122771638814</v>
      </c>
      <c r="F39">
        <v>664.65</v>
      </c>
      <c r="G39">
        <v>-705.01312277163879</v>
      </c>
    </row>
    <row r="40" spans="2:7" x14ac:dyDescent="0.55000000000000004">
      <c r="B40" s="3">
        <v>43751.486111111109</v>
      </c>
      <c r="C40">
        <v>5000.010239756326</v>
      </c>
      <c r="D40">
        <v>18000036.863122772</v>
      </c>
      <c r="E40">
        <v>-36.863122771638814</v>
      </c>
      <c r="F40">
        <v>668.15</v>
      </c>
      <c r="G40">
        <v>-705.01312277163879</v>
      </c>
    </row>
    <row r="41" spans="2:7" x14ac:dyDescent="0.55000000000000004">
      <c r="B41" s="3">
        <v>43751.493055555555</v>
      </c>
      <c r="C41">
        <v>5000.0096564229916</v>
      </c>
      <c r="D41">
        <v>18000034.763122771</v>
      </c>
      <c r="E41">
        <v>-34.763122771638791</v>
      </c>
      <c r="F41">
        <v>670.25</v>
      </c>
      <c r="G41">
        <v>-705.01312277163879</v>
      </c>
    </row>
    <row r="42" spans="2:7" x14ac:dyDescent="0.55000000000000004">
      <c r="B42" s="3">
        <v>43751.5</v>
      </c>
      <c r="C42">
        <v>5000.0094758674368</v>
      </c>
      <c r="D42">
        <v>18000034.113122772</v>
      </c>
      <c r="E42">
        <v>-34.113122771638814</v>
      </c>
      <c r="F42">
        <v>670.9</v>
      </c>
      <c r="G42">
        <v>-705.01312277163879</v>
      </c>
    </row>
    <row r="43" spans="2:7" x14ac:dyDescent="0.55000000000000004">
      <c r="B43" s="3">
        <v>43751.506944444445</v>
      </c>
      <c r="C43">
        <v>4999.7730835994416</v>
      </c>
      <c r="D43">
        <v>17999183.10095799</v>
      </c>
      <c r="E43">
        <v>816.8990420115814</v>
      </c>
      <c r="F43">
        <v>1340.5</v>
      </c>
      <c r="G43">
        <v>-523.6009579884186</v>
      </c>
    </row>
    <row r="44" spans="2:7" x14ac:dyDescent="0.55000000000000004">
      <c r="B44" s="3">
        <v>43751.513888888891</v>
      </c>
      <c r="C44">
        <v>4999.7742502661076</v>
      </c>
      <c r="D44">
        <v>17999187.300957989</v>
      </c>
      <c r="E44">
        <v>812.69904201158135</v>
      </c>
      <c r="F44">
        <v>1336.3</v>
      </c>
      <c r="G44">
        <v>-523.6009579884186</v>
      </c>
    </row>
    <row r="45" spans="2:7" x14ac:dyDescent="0.55000000000000004">
      <c r="B45" s="3">
        <v>43751.520833333336</v>
      </c>
      <c r="C45">
        <v>4999.7761947105528</v>
      </c>
      <c r="D45">
        <v>17999194.300957989</v>
      </c>
      <c r="E45">
        <v>805.69904201158135</v>
      </c>
      <c r="F45">
        <v>1329.3</v>
      </c>
      <c r="G45">
        <v>-523.6009579884186</v>
      </c>
    </row>
    <row r="46" spans="2:7" x14ac:dyDescent="0.55000000000000004">
      <c r="B46" s="3">
        <v>43751.527777777781</v>
      </c>
      <c r="C46">
        <v>4999.7788613772182</v>
      </c>
      <c r="D46">
        <v>17999203.900957987</v>
      </c>
      <c r="E46">
        <v>796.09904201158145</v>
      </c>
      <c r="F46">
        <v>1319.7</v>
      </c>
      <c r="G46">
        <v>-523.6009579884186</v>
      </c>
    </row>
    <row r="47" spans="2:7" x14ac:dyDescent="0.55000000000000004">
      <c r="B47" s="3">
        <v>43751.534722222219</v>
      </c>
      <c r="C47">
        <v>4999.7823335994408</v>
      </c>
      <c r="D47">
        <v>17999216.400957987</v>
      </c>
      <c r="E47">
        <v>783.59904201158145</v>
      </c>
      <c r="F47">
        <v>1307.2</v>
      </c>
      <c r="G47">
        <v>-523.6009579884186</v>
      </c>
    </row>
    <row r="48" spans="2:7" x14ac:dyDescent="0.55000000000000004">
      <c r="B48" s="3">
        <v>43751.541666666664</v>
      </c>
      <c r="C48">
        <v>4999.7865280438855</v>
      </c>
      <c r="D48">
        <v>17999231.500957988</v>
      </c>
      <c r="E48">
        <v>768.49904201158131</v>
      </c>
      <c r="F48">
        <v>1292.0999999999999</v>
      </c>
      <c r="G48">
        <v>-523.6009579884186</v>
      </c>
    </row>
    <row r="49" spans="2:7" x14ac:dyDescent="0.55000000000000004">
      <c r="B49" s="3">
        <v>43751.548611111109</v>
      </c>
      <c r="C49">
        <v>4999.7914724883303</v>
      </c>
      <c r="D49">
        <v>17999249.300957989</v>
      </c>
      <c r="E49">
        <v>750.69904201158135</v>
      </c>
      <c r="F49">
        <v>1274.3</v>
      </c>
      <c r="G49">
        <v>-523.6009579884186</v>
      </c>
    </row>
    <row r="50" spans="2:7" x14ac:dyDescent="0.55000000000000004">
      <c r="B50" s="3">
        <v>43751.555555555555</v>
      </c>
      <c r="C50">
        <v>4999.7971669327744</v>
      </c>
      <c r="D50">
        <v>17999269.800957989</v>
      </c>
      <c r="E50">
        <v>730.19904201158135</v>
      </c>
      <c r="F50">
        <v>1253.8</v>
      </c>
      <c r="G50">
        <v>-523.6009579884186</v>
      </c>
    </row>
    <row r="51" spans="2:7" x14ac:dyDescent="0.55000000000000004">
      <c r="B51" s="3">
        <v>43751.5625</v>
      </c>
      <c r="C51">
        <v>4999.8035835994406</v>
      </c>
      <c r="D51">
        <v>17999292.900957987</v>
      </c>
      <c r="E51">
        <v>707.09904201158145</v>
      </c>
      <c r="F51">
        <v>1230.7</v>
      </c>
      <c r="G51">
        <v>-523.6009579884186</v>
      </c>
    </row>
    <row r="52" spans="2:7" x14ac:dyDescent="0.55000000000000004">
      <c r="B52" s="3">
        <v>43751.569444444445</v>
      </c>
      <c r="C52">
        <v>4999.8106947105525</v>
      </c>
      <c r="D52">
        <v>17999318.500957988</v>
      </c>
      <c r="E52">
        <v>681.49904201158131</v>
      </c>
      <c r="F52">
        <v>1205.0999999999999</v>
      </c>
      <c r="G52">
        <v>-523.6009579884186</v>
      </c>
    </row>
    <row r="53" spans="2:7" x14ac:dyDescent="0.55000000000000004">
      <c r="B53" s="3">
        <v>43751.576388888891</v>
      </c>
      <c r="C53">
        <v>4999.8185280438856</v>
      </c>
      <c r="D53">
        <v>17999346.700957987</v>
      </c>
      <c r="E53">
        <v>653.29904201158149</v>
      </c>
      <c r="F53">
        <v>1176.9000000000001</v>
      </c>
      <c r="G53">
        <v>-523.6009579884186</v>
      </c>
    </row>
    <row r="54" spans="2:7" x14ac:dyDescent="0.55000000000000004">
      <c r="B54" s="3">
        <v>43751.583333333336</v>
      </c>
      <c r="C54">
        <v>4999.8270002661075</v>
      </c>
      <c r="D54">
        <v>17999377.200957987</v>
      </c>
      <c r="E54">
        <v>622.79904201158149</v>
      </c>
      <c r="F54">
        <v>1146.4000000000001</v>
      </c>
      <c r="G54">
        <v>-523.6009579884186</v>
      </c>
    </row>
    <row r="55" spans="2:7" x14ac:dyDescent="0.55000000000000004">
      <c r="B55" s="3">
        <v>43751.590277777781</v>
      </c>
      <c r="C55">
        <v>4999.8361669327742</v>
      </c>
      <c r="D55">
        <v>17999410.200957987</v>
      </c>
      <c r="E55">
        <v>589.79904201158149</v>
      </c>
      <c r="F55">
        <v>1113.4000000000001</v>
      </c>
      <c r="G55">
        <v>-523.6009579884186</v>
      </c>
    </row>
    <row r="56" spans="2:7" x14ac:dyDescent="0.55000000000000004">
      <c r="B56" s="3">
        <v>43751.597222222219</v>
      </c>
      <c r="C56">
        <v>4999.8459724883296</v>
      </c>
      <c r="D56">
        <v>17999445.500957988</v>
      </c>
      <c r="E56">
        <v>554.49904201158131</v>
      </c>
      <c r="F56">
        <v>1078.0999999999999</v>
      </c>
      <c r="G56">
        <v>-523.6009579884186</v>
      </c>
    </row>
    <row r="57" spans="2:7" x14ac:dyDescent="0.55000000000000004">
      <c r="B57" s="3">
        <v>43751.604166666664</v>
      </c>
      <c r="C57">
        <v>4999.8563891549966</v>
      </c>
      <c r="D57">
        <v>17999483.000957988</v>
      </c>
      <c r="E57">
        <v>516.99904201158131</v>
      </c>
      <c r="F57">
        <v>1040.5999999999999</v>
      </c>
      <c r="G57">
        <v>-523.6009579884186</v>
      </c>
    </row>
    <row r="58" spans="2:7" x14ac:dyDescent="0.55000000000000004">
      <c r="B58" s="3">
        <v>43751.611111111109</v>
      </c>
      <c r="C58">
        <v>4999.8674169327742</v>
      </c>
      <c r="D58">
        <v>17999522.700957987</v>
      </c>
      <c r="E58">
        <v>477.29904201158138</v>
      </c>
      <c r="F58">
        <v>1000.9</v>
      </c>
      <c r="G58">
        <v>-523.6009579884186</v>
      </c>
    </row>
    <row r="59" spans="2:7" x14ac:dyDescent="0.55000000000000004">
      <c r="B59" s="3">
        <v>43751.618055555555</v>
      </c>
      <c r="C59">
        <v>4999.8790280438852</v>
      </c>
      <c r="D59">
        <v>17999564.500957988</v>
      </c>
      <c r="E59">
        <v>435.49904201158142</v>
      </c>
      <c r="F59">
        <v>959.1</v>
      </c>
      <c r="G59">
        <v>-523.6009579884186</v>
      </c>
    </row>
    <row r="60" spans="2:7" x14ac:dyDescent="0.55000000000000004">
      <c r="B60" s="3">
        <v>43751.625</v>
      </c>
      <c r="C60">
        <v>4999.8911669327745</v>
      </c>
      <c r="D60">
        <v>17999608.200957987</v>
      </c>
      <c r="E60">
        <v>391.79904201158138</v>
      </c>
      <c r="F60">
        <v>915.4</v>
      </c>
      <c r="G60">
        <v>-523.6009579884186</v>
      </c>
    </row>
    <row r="61" spans="2:7" x14ac:dyDescent="0.55000000000000004">
      <c r="B61" s="3">
        <v>43751.631944444445</v>
      </c>
      <c r="C61">
        <v>4999.903833599441</v>
      </c>
      <c r="D61">
        <v>17999653.800957989</v>
      </c>
      <c r="E61">
        <v>346.19904201158135</v>
      </c>
      <c r="F61">
        <v>869.8</v>
      </c>
      <c r="G61">
        <v>-523.6009579884186</v>
      </c>
    </row>
    <row r="62" spans="2:7" x14ac:dyDescent="0.55000000000000004">
      <c r="B62" s="3">
        <v>43751.638888888891</v>
      </c>
      <c r="C62">
        <v>4999.9170002661076</v>
      </c>
      <c r="D62">
        <v>17999701.200957987</v>
      </c>
      <c r="E62">
        <v>298.79904201158138</v>
      </c>
      <c r="F62">
        <v>822.4</v>
      </c>
      <c r="G62">
        <v>-523.6009579884186</v>
      </c>
    </row>
    <row r="63" spans="2:7" x14ac:dyDescent="0.55000000000000004">
      <c r="B63" s="3">
        <v>43751.645833333336</v>
      </c>
      <c r="C63">
        <v>4999.9306113772191</v>
      </c>
      <c r="D63">
        <v>17999750.200957987</v>
      </c>
      <c r="E63">
        <v>249.79904201158138</v>
      </c>
      <c r="F63">
        <v>773.4</v>
      </c>
      <c r="G63">
        <v>-523.6009579884186</v>
      </c>
    </row>
    <row r="64" spans="2:7" x14ac:dyDescent="0.55000000000000004">
      <c r="B64" s="3">
        <v>43751.652777777781</v>
      </c>
      <c r="C64">
        <v>4999.9446669327745</v>
      </c>
      <c r="D64">
        <v>17999800.800957989</v>
      </c>
      <c r="E64">
        <v>199.19904201158135</v>
      </c>
      <c r="F64">
        <v>722.8</v>
      </c>
      <c r="G64">
        <v>-523.6009579884186</v>
      </c>
    </row>
    <row r="65" spans="2:7" x14ac:dyDescent="0.55000000000000004">
      <c r="B65" s="3">
        <v>43751.659722222219</v>
      </c>
      <c r="C65">
        <v>4999.9591113772194</v>
      </c>
      <c r="D65">
        <v>17999852.800957989</v>
      </c>
      <c r="E65">
        <v>147.19904201158135</v>
      </c>
      <c r="F65">
        <v>670.8</v>
      </c>
      <c r="G65">
        <v>-523.6009579884186</v>
      </c>
    </row>
    <row r="66" spans="2:7" x14ac:dyDescent="0.55000000000000004">
      <c r="B66" s="3">
        <v>43751.666666666664</v>
      </c>
      <c r="C66">
        <v>4999.973916932775</v>
      </c>
      <c r="D66">
        <v>17999906.10095799</v>
      </c>
      <c r="E66">
        <v>93.8990420115814</v>
      </c>
      <c r="F66">
        <v>617.5</v>
      </c>
      <c r="G66">
        <v>-523.6009579884186</v>
      </c>
    </row>
    <row r="67" spans="2:7" x14ac:dyDescent="0.55000000000000004">
      <c r="B67" s="3">
        <v>43751.673611111109</v>
      </c>
      <c r="C67">
        <v>4999.9890002661077</v>
      </c>
      <c r="D67">
        <v>17999960.400957987</v>
      </c>
      <c r="E67">
        <v>39.599042011581446</v>
      </c>
      <c r="F67">
        <v>563.20000000000005</v>
      </c>
      <c r="G67">
        <v>-523.6009579884186</v>
      </c>
    </row>
    <row r="68" spans="2:7" x14ac:dyDescent="0.55000000000000004">
      <c r="B68" s="3">
        <v>43751.680555555555</v>
      </c>
      <c r="C68">
        <v>5000.0043613772186</v>
      </c>
      <c r="D68">
        <v>18000015.700957987</v>
      </c>
      <c r="E68">
        <v>-15.700957988418622</v>
      </c>
      <c r="F68">
        <v>507.9</v>
      </c>
      <c r="G68">
        <v>-523.6009579884186</v>
      </c>
    </row>
    <row r="69" spans="2:7" x14ac:dyDescent="0.55000000000000004">
      <c r="B69" s="3">
        <v>43751.6875</v>
      </c>
      <c r="C69">
        <v>5000.0198891549971</v>
      </c>
      <c r="D69">
        <v>18000071.60095799</v>
      </c>
      <c r="E69">
        <v>-71.6009579884186</v>
      </c>
      <c r="F69">
        <v>452</v>
      </c>
      <c r="G69">
        <v>-523.6009579884186</v>
      </c>
    </row>
    <row r="70" spans="2:7" x14ac:dyDescent="0.55000000000000004">
      <c r="B70" s="3">
        <v>43751.694444444445</v>
      </c>
      <c r="C70">
        <v>5000.0355835994415</v>
      </c>
      <c r="D70">
        <v>18000128.10095799</v>
      </c>
      <c r="E70">
        <v>-128.1009579884186</v>
      </c>
      <c r="F70">
        <v>395.5</v>
      </c>
      <c r="G70">
        <v>-523.6009579884186</v>
      </c>
    </row>
    <row r="71" spans="2:7" x14ac:dyDescent="0.55000000000000004">
      <c r="B71" s="3">
        <v>43751.701388888891</v>
      </c>
      <c r="C71">
        <v>5000.0512780438858</v>
      </c>
      <c r="D71">
        <v>18000184.60095799</v>
      </c>
      <c r="E71">
        <v>-184.6009579884186</v>
      </c>
      <c r="F71">
        <v>339</v>
      </c>
      <c r="G71">
        <v>-523.6009579884186</v>
      </c>
    </row>
    <row r="72" spans="2:7" x14ac:dyDescent="0.55000000000000004">
      <c r="B72" s="3">
        <v>43751.708333333336</v>
      </c>
      <c r="C72">
        <v>4999.9214722222223</v>
      </c>
      <c r="D72">
        <v>17999717.300000001</v>
      </c>
      <c r="E72">
        <v>282.7</v>
      </c>
      <c r="F72">
        <v>282.7</v>
      </c>
      <c r="G72">
        <v>0</v>
      </c>
    </row>
    <row r="73" spans="2:7" x14ac:dyDescent="0.55000000000000004">
      <c r="B73" s="3">
        <v>43751.715277777781</v>
      </c>
      <c r="C73">
        <v>4999.9369166666665</v>
      </c>
      <c r="D73">
        <v>17999772.899999999</v>
      </c>
      <c r="E73">
        <v>227.1</v>
      </c>
      <c r="F73">
        <v>227.1</v>
      </c>
      <c r="G73">
        <v>0</v>
      </c>
    </row>
    <row r="74" spans="2:7" x14ac:dyDescent="0.55000000000000004">
      <c r="B74" s="3">
        <v>43751.722222222219</v>
      </c>
      <c r="C74">
        <v>4999.9518888888888</v>
      </c>
      <c r="D74">
        <v>17999826.800000001</v>
      </c>
      <c r="E74">
        <v>173.2</v>
      </c>
      <c r="F74">
        <v>173.2</v>
      </c>
      <c r="G74">
        <v>0</v>
      </c>
    </row>
    <row r="75" spans="2:7" x14ac:dyDescent="0.55000000000000004">
      <c r="B75" s="3">
        <v>43751.729166666664</v>
      </c>
      <c r="C75">
        <v>4999.966138888889</v>
      </c>
      <c r="D75">
        <v>17999878.100000001</v>
      </c>
      <c r="E75">
        <v>121.9</v>
      </c>
      <c r="F75">
        <v>121.9</v>
      </c>
      <c r="G75">
        <v>0</v>
      </c>
    </row>
    <row r="76" spans="2:7" x14ac:dyDescent="0.55000000000000004">
      <c r="B76" s="3">
        <v>43751.736111111109</v>
      </c>
      <c r="C76">
        <v>4999.9791388888889</v>
      </c>
      <c r="D76">
        <v>17999924.899999999</v>
      </c>
      <c r="E76">
        <v>75.099999999999994</v>
      </c>
      <c r="F76">
        <v>75.099999999999994</v>
      </c>
      <c r="G76">
        <v>0</v>
      </c>
    </row>
    <row r="77" spans="2:7" x14ac:dyDescent="0.55000000000000004">
      <c r="B77" s="3">
        <v>43751.743055555555</v>
      </c>
      <c r="C77">
        <v>4999.99</v>
      </c>
      <c r="D77">
        <v>17999964</v>
      </c>
      <c r="E77">
        <v>36</v>
      </c>
      <c r="F77">
        <v>36</v>
      </c>
      <c r="G77">
        <v>0</v>
      </c>
    </row>
    <row r="78" spans="2:7" x14ac:dyDescent="0.55000000000000004">
      <c r="B78" s="3">
        <v>43751.75</v>
      </c>
      <c r="C78">
        <v>4999.9972777777775</v>
      </c>
      <c r="D78">
        <v>17999990.199999999</v>
      </c>
      <c r="E78">
        <v>9.8000000000000007</v>
      </c>
      <c r="F78">
        <v>9.8000000000000007</v>
      </c>
      <c r="G78">
        <v>0</v>
      </c>
    </row>
    <row r="79" spans="2:7" x14ac:dyDescent="0.55000000000000004">
      <c r="B79" s="3">
        <v>43752.25</v>
      </c>
      <c r="C79">
        <v>4999.9956444444442</v>
      </c>
      <c r="D79">
        <v>17999984.32</v>
      </c>
      <c r="E79">
        <v>5.88</v>
      </c>
      <c r="F79">
        <v>5.88</v>
      </c>
      <c r="G79">
        <v>0</v>
      </c>
    </row>
    <row r="80" spans="2:7" x14ac:dyDescent="0.55000000000000004">
      <c r="B80" s="3">
        <v>43752.256944444445</v>
      </c>
      <c r="C80">
        <v>4999.9896444444439</v>
      </c>
      <c r="D80">
        <v>17999962.719999999</v>
      </c>
      <c r="E80">
        <v>21.599999999999998</v>
      </c>
      <c r="F80">
        <v>21.599999999999998</v>
      </c>
      <c r="G80">
        <v>0</v>
      </c>
    </row>
    <row r="81" spans="2:7" x14ac:dyDescent="0.55000000000000004">
      <c r="B81" s="3">
        <v>43752.263888888891</v>
      </c>
      <c r="C81">
        <v>4999.9771277777782</v>
      </c>
      <c r="D81">
        <v>17999917.66</v>
      </c>
      <c r="E81">
        <v>45.059999999999995</v>
      </c>
      <c r="F81">
        <v>45.059999999999995</v>
      </c>
      <c r="G81">
        <v>0</v>
      </c>
    </row>
    <row r="82" spans="2:7" x14ac:dyDescent="0.55000000000000004">
      <c r="B82" s="3">
        <v>43752.270833333336</v>
      </c>
      <c r="C82">
        <v>4999.9568277777771</v>
      </c>
      <c r="D82">
        <v>17999844.579999998</v>
      </c>
      <c r="E82">
        <v>73.08</v>
      </c>
      <c r="F82">
        <v>73.08</v>
      </c>
      <c r="G82">
        <v>0</v>
      </c>
    </row>
    <row r="83" spans="2:7" x14ac:dyDescent="0.55000000000000004">
      <c r="B83" s="3">
        <v>43752.277777777781</v>
      </c>
      <c r="C83">
        <v>4999.9279777777774</v>
      </c>
      <c r="D83">
        <v>17999740.719999999</v>
      </c>
      <c r="E83">
        <v>103.86</v>
      </c>
      <c r="F83">
        <v>103.86</v>
      </c>
      <c r="G83">
        <v>0</v>
      </c>
    </row>
    <row r="84" spans="2:7" x14ac:dyDescent="0.55000000000000004">
      <c r="B84" s="3">
        <v>43752.284722222219</v>
      </c>
      <c r="C84">
        <v>4999.8901277777777</v>
      </c>
      <c r="D84">
        <v>17999604.460000001</v>
      </c>
      <c r="E84">
        <v>136.26</v>
      </c>
      <c r="F84">
        <v>136.26</v>
      </c>
      <c r="G84">
        <v>0</v>
      </c>
    </row>
    <row r="85" spans="2:7" x14ac:dyDescent="0.55000000000000004">
      <c r="B85" s="3">
        <v>43752.291666666664</v>
      </c>
      <c r="C85">
        <v>4999.843027777777</v>
      </c>
      <c r="D85">
        <v>17999434.899999999</v>
      </c>
      <c r="E85">
        <v>169.56</v>
      </c>
      <c r="F85">
        <v>169.56</v>
      </c>
      <c r="G85">
        <v>0</v>
      </c>
    </row>
    <row r="86" spans="2:7" x14ac:dyDescent="0.55000000000000004">
      <c r="B86" s="3">
        <v>43752.298611111109</v>
      </c>
      <c r="C86">
        <v>4999.7865444444442</v>
      </c>
      <c r="D86">
        <v>17999231.559999999</v>
      </c>
      <c r="E86">
        <v>203.33999999999997</v>
      </c>
      <c r="F86">
        <v>203.33999999999997</v>
      </c>
      <c r="G86">
        <v>0</v>
      </c>
    </row>
    <row r="87" spans="2:7" x14ac:dyDescent="0.55000000000000004">
      <c r="B87" s="3">
        <v>43752.305555555555</v>
      </c>
      <c r="C87">
        <v>4999.7206277777768</v>
      </c>
      <c r="D87">
        <v>17998994.259999998</v>
      </c>
      <c r="E87">
        <v>237.29999999999998</v>
      </c>
      <c r="F87">
        <v>237.29999999999998</v>
      </c>
      <c r="G87">
        <v>0</v>
      </c>
    </row>
    <row r="88" spans="2:7" x14ac:dyDescent="0.55000000000000004">
      <c r="B88" s="3">
        <v>43752.3125</v>
      </c>
      <c r="C88">
        <v>4999.6453111111114</v>
      </c>
      <c r="D88">
        <v>17998723.120000001</v>
      </c>
      <c r="E88">
        <v>271.14</v>
      </c>
      <c r="F88">
        <v>271.14</v>
      </c>
      <c r="G88">
        <v>0</v>
      </c>
    </row>
    <row r="89" spans="2:7" x14ac:dyDescent="0.55000000000000004">
      <c r="B89" s="3">
        <v>43752.319444444445</v>
      </c>
      <c r="C89">
        <v>4999.5606611111107</v>
      </c>
      <c r="D89">
        <v>17998418.379999999</v>
      </c>
      <c r="E89">
        <v>304.73999999999995</v>
      </c>
      <c r="F89">
        <v>304.73999999999995</v>
      </c>
      <c r="G89">
        <v>0</v>
      </c>
    </row>
    <row r="90" spans="2:7" x14ac:dyDescent="0.55000000000000004">
      <c r="B90" s="3">
        <v>43752.326388888891</v>
      </c>
      <c r="C90">
        <v>4999.4668111111114</v>
      </c>
      <c r="D90">
        <v>17998080.52</v>
      </c>
      <c r="E90">
        <v>337.86</v>
      </c>
      <c r="F90">
        <v>337.86</v>
      </c>
      <c r="G90">
        <v>0</v>
      </c>
    </row>
    <row r="91" spans="2:7" x14ac:dyDescent="0.55000000000000004">
      <c r="B91" s="3">
        <v>43752.333333333336</v>
      </c>
      <c r="C91">
        <v>4999.5093391549972</v>
      </c>
      <c r="D91">
        <v>17998233.620957989</v>
      </c>
      <c r="E91">
        <v>-153.1009579884186</v>
      </c>
      <c r="F91">
        <v>370.5</v>
      </c>
      <c r="G91">
        <v>-523.6009579884186</v>
      </c>
    </row>
    <row r="92" spans="2:7" x14ac:dyDescent="0.55000000000000004">
      <c r="B92" s="3">
        <v>43752.340277777781</v>
      </c>
      <c r="C92">
        <v>4999.543000532216</v>
      </c>
      <c r="D92">
        <v>17998354.801915977</v>
      </c>
      <c r="E92">
        <v>-121.18095798841858</v>
      </c>
      <c r="F92">
        <v>402.42</v>
      </c>
      <c r="G92">
        <v>-523.6009579884186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7</vt:i4>
      </vt:variant>
      <vt:variant>
        <vt:lpstr>名前付き一覧</vt:lpstr>
      </vt:variant>
      <vt:variant>
        <vt:i4>1</vt:i4>
      </vt:variant>
    </vt:vector>
  </HeadingPairs>
  <TitlesOfParts>
    <vt:vector size="8" baseType="lpstr">
      <vt:lpstr>Main_Day1</vt:lpstr>
      <vt:lpstr>Main_Day2</vt:lpstr>
      <vt:lpstr>Main_Day3</vt:lpstr>
      <vt:lpstr>Main_Day4</vt:lpstr>
      <vt:lpstr>Main_Day5</vt:lpstr>
      <vt:lpstr>Main_Day1_2</vt:lpstr>
      <vt:lpstr>Main_All</vt:lpstr>
      <vt:lpstr>Main_Day1_2!Criteria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山畑佳子</dc:creator>
  <cp:lastModifiedBy>山畑佳子</cp:lastModifiedBy>
  <dcterms:created xsi:type="dcterms:W3CDTF">2019-09-26T04:24:07Z</dcterms:created>
  <dcterms:modified xsi:type="dcterms:W3CDTF">2019-09-27T21:47:48Z</dcterms:modified>
</cp:coreProperties>
</file>