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_EneMane\Main\"/>
    </mc:Choice>
  </mc:AlternateContent>
  <xr:revisionPtr revIDLastSave="0" documentId="13_ncr:1_{0C2AE8A1-AE8E-4D79-87E8-7F9851637A3E}" xr6:coauthVersionLast="44" xr6:coauthVersionMax="44" xr10:uidLastSave="{00000000-0000-0000-0000-000000000000}"/>
  <bookViews>
    <workbookView xWindow="-110" yWindow="-110" windowWidth="19420" windowHeight="10420" xr2:uid="{D2C017E4-2C76-496C-97A1-D4251CCB4195}"/>
  </bookViews>
  <sheets>
    <sheet name="Main_Day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" i="1" l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" i="1"/>
  <c r="J6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8" i="1"/>
  <c r="N7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8" i="1"/>
  <c r="M7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9" i="1"/>
  <c r="L7" i="1"/>
  <c r="L8" i="1"/>
  <c r="L10" i="1"/>
  <c r="L11" i="1"/>
  <c r="N6" i="1"/>
  <c r="M6" i="1"/>
  <c r="L6" i="1"/>
  <c r="K71" i="1"/>
  <c r="K72" i="1"/>
  <c r="K73" i="1"/>
  <c r="K74" i="1"/>
  <c r="K75" i="1"/>
  <c r="K76" i="1"/>
  <c r="K77" i="1"/>
  <c r="K78" i="1"/>
  <c r="K7" i="1"/>
  <c r="K6" i="1"/>
  <c r="C10" i="1"/>
  <c r="K10" i="1" s="1"/>
  <c r="C11" i="1"/>
  <c r="K11" i="1" s="1"/>
  <c r="C12" i="1"/>
  <c r="K12" i="1" s="1"/>
  <c r="C13" i="1"/>
  <c r="K13" i="1" s="1"/>
  <c r="C14" i="1"/>
  <c r="K14" i="1" s="1"/>
  <c r="C15" i="1"/>
  <c r="K15" i="1" s="1"/>
  <c r="C16" i="1"/>
  <c r="K16" i="1" s="1"/>
  <c r="C17" i="1"/>
  <c r="K17" i="1" s="1"/>
  <c r="C18" i="1"/>
  <c r="K18" i="1" s="1"/>
  <c r="C19" i="1"/>
  <c r="K19" i="1" s="1"/>
  <c r="C20" i="1"/>
  <c r="K20" i="1" s="1"/>
  <c r="C21" i="1"/>
  <c r="K21" i="1" s="1"/>
  <c r="C22" i="1"/>
  <c r="K22" i="1" s="1"/>
  <c r="C23" i="1"/>
  <c r="K23" i="1" s="1"/>
  <c r="C24" i="1"/>
  <c r="K24" i="1" s="1"/>
  <c r="C25" i="1"/>
  <c r="K25" i="1" s="1"/>
  <c r="C26" i="1"/>
  <c r="K26" i="1" s="1"/>
  <c r="C27" i="1"/>
  <c r="K27" i="1" s="1"/>
  <c r="C28" i="1"/>
  <c r="K28" i="1" s="1"/>
  <c r="C29" i="1"/>
  <c r="K29" i="1" s="1"/>
  <c r="C30" i="1"/>
  <c r="K30" i="1" s="1"/>
  <c r="C31" i="1"/>
  <c r="K31" i="1" s="1"/>
  <c r="C32" i="1"/>
  <c r="K32" i="1" s="1"/>
  <c r="C33" i="1"/>
  <c r="K33" i="1" s="1"/>
  <c r="C34" i="1"/>
  <c r="K34" i="1" s="1"/>
  <c r="C35" i="1"/>
  <c r="K35" i="1" s="1"/>
  <c r="C36" i="1"/>
  <c r="K36" i="1" s="1"/>
  <c r="C37" i="1"/>
  <c r="K37" i="1" s="1"/>
  <c r="C38" i="1"/>
  <c r="K38" i="1" s="1"/>
  <c r="C39" i="1"/>
  <c r="K39" i="1" s="1"/>
  <c r="C40" i="1"/>
  <c r="K40" i="1" s="1"/>
  <c r="C41" i="1"/>
  <c r="K41" i="1" s="1"/>
  <c r="C42" i="1"/>
  <c r="K42" i="1" s="1"/>
  <c r="C43" i="1"/>
  <c r="K43" i="1" s="1"/>
  <c r="C44" i="1"/>
  <c r="K44" i="1" s="1"/>
  <c r="C45" i="1"/>
  <c r="K45" i="1" s="1"/>
  <c r="C46" i="1"/>
  <c r="K46" i="1" s="1"/>
  <c r="C47" i="1"/>
  <c r="K47" i="1" s="1"/>
  <c r="C48" i="1"/>
  <c r="K48" i="1" s="1"/>
  <c r="C49" i="1"/>
  <c r="K49" i="1" s="1"/>
  <c r="C50" i="1"/>
  <c r="K50" i="1" s="1"/>
  <c r="C51" i="1"/>
  <c r="K51" i="1" s="1"/>
  <c r="C52" i="1"/>
  <c r="K52" i="1" s="1"/>
  <c r="C53" i="1"/>
  <c r="K53" i="1" s="1"/>
  <c r="C54" i="1"/>
  <c r="K54" i="1" s="1"/>
  <c r="C55" i="1"/>
  <c r="K55" i="1" s="1"/>
  <c r="C56" i="1"/>
  <c r="K56" i="1" s="1"/>
  <c r="C57" i="1"/>
  <c r="K57" i="1" s="1"/>
  <c r="C58" i="1"/>
  <c r="K58" i="1" s="1"/>
  <c r="C59" i="1"/>
  <c r="K59" i="1" s="1"/>
  <c r="C60" i="1"/>
  <c r="K60" i="1" s="1"/>
  <c r="C61" i="1"/>
  <c r="K61" i="1" s="1"/>
  <c r="C62" i="1"/>
  <c r="K62" i="1" s="1"/>
  <c r="C63" i="1"/>
  <c r="K63" i="1" s="1"/>
  <c r="C64" i="1"/>
  <c r="K64" i="1" s="1"/>
  <c r="C65" i="1"/>
  <c r="K65" i="1" s="1"/>
  <c r="C66" i="1"/>
  <c r="K66" i="1" s="1"/>
  <c r="C67" i="1"/>
  <c r="K67" i="1" s="1"/>
  <c r="C68" i="1"/>
  <c r="K68" i="1" s="1"/>
  <c r="C69" i="1"/>
  <c r="K69" i="1" s="1"/>
  <c r="C70" i="1"/>
  <c r="K70" i="1" s="1"/>
  <c r="C71" i="1"/>
  <c r="C72" i="1"/>
  <c r="C73" i="1"/>
  <c r="C74" i="1"/>
  <c r="C75" i="1"/>
  <c r="C76" i="1"/>
  <c r="C77" i="1"/>
  <c r="C78" i="1"/>
  <c r="C9" i="1"/>
  <c r="K9" i="1" s="1"/>
  <c r="C7" i="1"/>
  <c r="C8" i="1"/>
  <c r="K8" i="1" s="1"/>
  <c r="C6" i="1"/>
  <c r="D6" i="1"/>
  <c r="E78" i="1"/>
  <c r="E77" i="1"/>
  <c r="E76" i="1"/>
  <c r="E75" i="1"/>
  <c r="E74" i="1"/>
  <c r="E73" i="1"/>
  <c r="E72" i="1"/>
  <c r="E71" i="1"/>
  <c r="E70" i="1"/>
  <c r="E69" i="1"/>
  <c r="D69" i="1" s="1"/>
  <c r="E68" i="1"/>
  <c r="E67" i="1"/>
  <c r="E66" i="1"/>
  <c r="E65" i="1"/>
  <c r="E64" i="1"/>
  <c r="E63" i="1"/>
  <c r="E62" i="1"/>
  <c r="E61" i="1"/>
  <c r="D61" i="1" s="1"/>
  <c r="E60" i="1"/>
  <c r="E59" i="1"/>
  <c r="E58" i="1"/>
  <c r="E57" i="1"/>
  <c r="E56" i="1"/>
  <c r="D56" i="1" s="1"/>
  <c r="E55" i="1"/>
  <c r="E54" i="1"/>
  <c r="E53" i="1"/>
  <c r="E52" i="1"/>
  <c r="E51" i="1"/>
  <c r="E50" i="1"/>
  <c r="E49" i="1"/>
  <c r="E48" i="1"/>
  <c r="D48" i="1" s="1"/>
  <c r="E47" i="1"/>
  <c r="E46" i="1"/>
  <c r="E45" i="1"/>
  <c r="D45" i="1" s="1"/>
  <c r="E44" i="1"/>
  <c r="E43" i="1"/>
  <c r="E42" i="1"/>
  <c r="E41" i="1"/>
  <c r="E40" i="1"/>
  <c r="E39" i="1"/>
  <c r="E38" i="1"/>
  <c r="E37" i="1"/>
  <c r="D37" i="1" s="1"/>
  <c r="E36" i="1"/>
  <c r="E35" i="1"/>
  <c r="E34" i="1"/>
  <c r="E33" i="1"/>
  <c r="E32" i="1"/>
  <c r="E31" i="1"/>
  <c r="E30" i="1"/>
  <c r="E29" i="1"/>
  <c r="D29" i="1" s="1"/>
  <c r="E28" i="1"/>
  <c r="E27" i="1"/>
  <c r="E26" i="1"/>
  <c r="E25" i="1"/>
  <c r="E24" i="1"/>
  <c r="D24" i="1" s="1"/>
  <c r="E23" i="1"/>
  <c r="E22" i="1"/>
  <c r="E21" i="1"/>
  <c r="D21" i="1" s="1"/>
  <c r="E20" i="1"/>
  <c r="E19" i="1"/>
  <c r="E18" i="1"/>
  <c r="E17" i="1"/>
  <c r="E16" i="1"/>
  <c r="D16" i="1" s="1"/>
  <c r="E15" i="1"/>
  <c r="E14" i="1"/>
  <c r="E13" i="1"/>
  <c r="D13" i="1" s="1"/>
  <c r="E12" i="1"/>
  <c r="E11" i="1"/>
  <c r="E10" i="1"/>
  <c r="E9" i="1"/>
  <c r="E8" i="1"/>
  <c r="D8" i="1" s="1"/>
  <c r="E7" i="1"/>
  <c r="D7" i="1" s="1"/>
  <c r="E6" i="1"/>
  <c r="D42" i="1"/>
  <c r="D50" i="1"/>
  <c r="D55" i="1"/>
  <c r="D58" i="1"/>
  <c r="D63" i="1"/>
  <c r="D66" i="1"/>
  <c r="D68" i="1"/>
  <c r="D71" i="1"/>
  <c r="D74" i="1"/>
  <c r="D76" i="1"/>
  <c r="D10" i="1"/>
  <c r="D78" i="1"/>
  <c r="D77" i="1"/>
  <c r="D75" i="1"/>
  <c r="D73" i="1"/>
  <c r="D72" i="1"/>
  <c r="D70" i="1"/>
  <c r="D67" i="1"/>
  <c r="D65" i="1"/>
  <c r="D64" i="1"/>
  <c r="D62" i="1"/>
  <c r="D60" i="1"/>
  <c r="D59" i="1"/>
  <c r="D57" i="1"/>
  <c r="D54" i="1"/>
  <c r="D53" i="1"/>
  <c r="D52" i="1"/>
  <c r="D51" i="1"/>
  <c r="D49" i="1"/>
  <c r="D47" i="1"/>
  <c r="D46" i="1"/>
  <c r="D44" i="1"/>
  <c r="D43" i="1"/>
  <c r="D41" i="1"/>
  <c r="D40" i="1"/>
  <c r="D39" i="1"/>
  <c r="D38" i="1"/>
  <c r="D36" i="1"/>
  <c r="D35" i="1"/>
  <c r="D34" i="1"/>
  <c r="D33" i="1"/>
  <c r="D32" i="1"/>
  <c r="D31" i="1"/>
  <c r="D30" i="1"/>
  <c r="D28" i="1"/>
  <c r="D27" i="1"/>
  <c r="D26" i="1"/>
  <c r="D25" i="1"/>
  <c r="D23" i="1"/>
  <c r="D22" i="1"/>
  <c r="D20" i="1"/>
  <c r="D19" i="1"/>
  <c r="D18" i="1"/>
  <c r="D17" i="1"/>
  <c r="D15" i="1"/>
  <c r="D14" i="1"/>
  <c r="D12" i="1"/>
  <c r="D11" i="1"/>
  <c r="D9" i="1"/>
</calcChain>
</file>

<file path=xl/sharedStrings.xml><?xml version="1.0" encoding="utf-8"?>
<sst xmlns="http://schemas.openxmlformats.org/spreadsheetml/2006/main" count="25" uniqueCount="18">
  <si>
    <t>PM(vd)</t>
  </si>
  <si>
    <t>C_Time</t>
  </si>
  <si>
    <t>Trip</t>
  </si>
  <si>
    <t>n</t>
  </si>
  <si>
    <t>n+1</t>
  </si>
  <si>
    <t>vd</t>
  </si>
  <si>
    <t>Time</t>
    <phoneticPr fontId="1"/>
  </si>
  <si>
    <t>Count</t>
  </si>
  <si>
    <t>Time</t>
  </si>
  <si>
    <t>PB</t>
    <phoneticPr fontId="1"/>
  </si>
  <si>
    <t>バッテリ残量[kWh]</t>
    <rPh sb="4" eb="6">
      <t>ザンリョウ</t>
    </rPh>
    <phoneticPr fontId="1"/>
  </si>
  <si>
    <t>バッテリ残量[W]</t>
    <rPh sb="4" eb="6">
      <t>ザンリョウ</t>
    </rPh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</si>
  <si>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</si>
  <si>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</si>
  <si>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</si>
  <si>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</si>
  <si>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バッテリ残量[Wh]</t>
    <rPh sb="4" eb="6">
      <t>ザンリョウ</t>
    </rPh>
    <phoneticPr fontId="1"/>
  </si>
  <si>
    <t>P-t図</t>
    <rPh sb="3" eb="4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</si>
</sst>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2" xfId="0" applyFont="1" applyBorder="1" applyAlignment="1">
      <alignment horizontal="right" vertical="center" wrapText="1"/>
    </xf>
    <xf numFmtId="0" fontId="0" fillId="0" borderId="2" xfId="0" applyBorder="1">
      <alignment vertical="center"/>
    </xf>
    <xf numFmtId="0" fontId="2" fillId="0" borderId="3" xfId="0" applyFont="1" applyBorder="1" applyAlignment="1">
      <alignment horizontal="right" vertical="center" wrapText="1"/>
    </xf>
    <xf numFmtId="0" fontId="0" fillId="0" borderId="3" xfId="0" applyBorder="1">
      <alignment vertical="center"/>
    </xf>
    <xf numFmtId="0" fontId="0" fillId="5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Main_Day1!$K$6:$K$78</c:f>
              <c:numCache>
                <c:formatCode>General</c:formatCode>
                <c:ptCount val="73"/>
                <c:pt idx="0">
                  <c:v>4.9999972777777772</c:v>
                </c:pt>
                <c:pt idx="1">
                  <c:v>4.9999899999999995</c:v>
                </c:pt>
                <c:pt idx="2">
                  <c:v>4.9999791388888886</c:v>
                </c:pt>
                <c:pt idx="3">
                  <c:v>4.9999661666666659</c:v>
                </c:pt>
                <c:pt idx="4">
                  <c:v>4.9999519166666664</c:v>
                </c:pt>
                <c:pt idx="5">
                  <c:v>4.999936916666667</c:v>
                </c:pt>
                <c:pt idx="6">
                  <c:v>4.9999214999999992</c:v>
                </c:pt>
                <c:pt idx="7">
                  <c:v>4.9999058611111113</c:v>
                </c:pt>
                <c:pt idx="8">
                  <c:v>4.9998901388888886</c:v>
                </c:pt>
                <c:pt idx="9">
                  <c:v>4.9998744722222224</c:v>
                </c:pt>
                <c:pt idx="10">
                  <c:v>4.9998589166666667</c:v>
                </c:pt>
                <c:pt idx="11">
                  <c:v>4.999843583333333</c:v>
                </c:pt>
                <c:pt idx="12">
                  <c:v>5.0000243092007697</c:v>
                </c:pt>
                <c:pt idx="13">
                  <c:v>5.0000095314229922</c:v>
                </c:pt>
                <c:pt idx="14">
                  <c:v>4.9999950869785481</c:v>
                </c:pt>
                <c:pt idx="15">
                  <c:v>4.9999810314229913</c:v>
                </c:pt>
                <c:pt idx="16">
                  <c:v>4.9999673925341028</c:v>
                </c:pt>
                <c:pt idx="17">
                  <c:v>4.9999542258674365</c:v>
                </c:pt>
                <c:pt idx="18">
                  <c:v>4.9999415592007699</c:v>
                </c:pt>
                <c:pt idx="19">
                  <c:v>4.9999294203118811</c:v>
                </c:pt>
                <c:pt idx="20">
                  <c:v>4.9999178092007703</c:v>
                </c:pt>
                <c:pt idx="21">
                  <c:v>4.9999068092007697</c:v>
                </c:pt>
                <c:pt idx="22">
                  <c:v>4.9998963647563262</c:v>
                </c:pt>
                <c:pt idx="23">
                  <c:v>4.9998865592007702</c:v>
                </c:pt>
                <c:pt idx="24">
                  <c:v>4.999877420311881</c:v>
                </c:pt>
                <c:pt idx="25">
                  <c:v>4.9998689203118811</c:v>
                </c:pt>
                <c:pt idx="26">
                  <c:v>4.9998611147563254</c:v>
                </c:pt>
                <c:pt idx="27">
                  <c:v>4.9998539758674365</c:v>
                </c:pt>
                <c:pt idx="28">
                  <c:v>4.9998475592007701</c:v>
                </c:pt>
                <c:pt idx="29">
                  <c:v>4.9998418925341026</c:v>
                </c:pt>
                <c:pt idx="30">
                  <c:v>4.999836920311882</c:v>
                </c:pt>
                <c:pt idx="31">
                  <c:v>4.999832725867436</c:v>
                </c:pt>
                <c:pt idx="32">
                  <c:v>4.9998292814229925</c:v>
                </c:pt>
                <c:pt idx="33">
                  <c:v>4.9998265869785472</c:v>
                </c:pt>
                <c:pt idx="34">
                  <c:v>4.9998246425341026</c:v>
                </c:pt>
                <c:pt idx="35">
                  <c:v>4.9998234758674363</c:v>
                </c:pt>
                <c:pt idx="36">
                  <c:v>4.9998231147563246</c:v>
                </c:pt>
                <c:pt idx="37">
                  <c:v>4.9997968787611402</c:v>
                </c:pt>
                <c:pt idx="38">
                  <c:v>4.9997980454278075</c:v>
                </c:pt>
                <c:pt idx="39">
                  <c:v>4.999799989872252</c:v>
                </c:pt>
                <c:pt idx="40">
                  <c:v>4.9998026565389182</c:v>
                </c:pt>
                <c:pt idx="41">
                  <c:v>4.9998061287611399</c:v>
                </c:pt>
                <c:pt idx="42">
                  <c:v>4.9998103232055859</c:v>
                </c:pt>
                <c:pt idx="43">
                  <c:v>4.9998152676500291</c:v>
                </c:pt>
                <c:pt idx="44">
                  <c:v>4.999820962094474</c:v>
                </c:pt>
                <c:pt idx="45">
                  <c:v>4.9998273787611405</c:v>
                </c:pt>
                <c:pt idx="46">
                  <c:v>4.999834489872252</c:v>
                </c:pt>
                <c:pt idx="47">
                  <c:v>4.9998423232055851</c:v>
                </c:pt>
                <c:pt idx="48">
                  <c:v>4.9998507954278075</c:v>
                </c:pt>
                <c:pt idx="49">
                  <c:v>4.9998599620944733</c:v>
                </c:pt>
                <c:pt idx="50">
                  <c:v>4.9998697676500292</c:v>
                </c:pt>
                <c:pt idx="51">
                  <c:v>4.9998801843166962</c:v>
                </c:pt>
                <c:pt idx="52">
                  <c:v>4.9998912120944734</c:v>
                </c:pt>
                <c:pt idx="53">
                  <c:v>4.9999028232055851</c:v>
                </c:pt>
                <c:pt idx="54">
                  <c:v>4.9999149620944738</c:v>
                </c:pt>
                <c:pt idx="55">
                  <c:v>4.9999276287611414</c:v>
                </c:pt>
                <c:pt idx="56">
                  <c:v>4.9999407954278068</c:v>
                </c:pt>
                <c:pt idx="57">
                  <c:v>4.9999544065389179</c:v>
                </c:pt>
                <c:pt idx="58">
                  <c:v>4.9999684620944747</c:v>
                </c:pt>
                <c:pt idx="59">
                  <c:v>4.9999829065389187</c:v>
                </c:pt>
                <c:pt idx="60">
                  <c:v>4.9999977120944727</c:v>
                </c:pt>
                <c:pt idx="61">
                  <c:v>5.0000127954278071</c:v>
                </c:pt>
                <c:pt idx="62">
                  <c:v>5.0000281565389182</c:v>
                </c:pt>
                <c:pt idx="63">
                  <c:v>5.0000436843166955</c:v>
                </c:pt>
                <c:pt idx="64">
                  <c:v>5.00005937876114</c:v>
                </c:pt>
                <c:pt idx="65">
                  <c:v>5.0000750732055845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3-4962-9F6B-BFA2EEA236C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Main_Day1!$L$6:$L$78</c:f>
              <c:numCache>
                <c:formatCode>General</c:formatCode>
                <c:ptCount val="73"/>
                <c:pt idx="0">
                  <c:v>9.8000000000000007</c:v>
                </c:pt>
                <c:pt idx="1">
                  <c:v>36</c:v>
                </c:pt>
                <c:pt idx="2">
                  <c:v>75.099999999999994</c:v>
                </c:pt>
                <c:pt idx="3">
                  <c:v>121.8</c:v>
                </c:pt>
                <c:pt idx="4">
                  <c:v>173.1</c:v>
                </c:pt>
                <c:pt idx="5">
                  <c:v>227.1</c:v>
                </c:pt>
                <c:pt idx="6">
                  <c:v>282.60000000000002</c:v>
                </c:pt>
                <c:pt idx="7">
                  <c:v>338.9</c:v>
                </c:pt>
                <c:pt idx="8">
                  <c:v>395.5</c:v>
                </c:pt>
                <c:pt idx="9">
                  <c:v>451.9</c:v>
                </c:pt>
                <c:pt idx="10">
                  <c:v>507.9</c:v>
                </c:pt>
                <c:pt idx="11">
                  <c:v>563.1</c:v>
                </c:pt>
                <c:pt idx="12">
                  <c:v>-87.513122771638791</c:v>
                </c:pt>
                <c:pt idx="13">
                  <c:v>-34.313122771638746</c:v>
                </c:pt>
                <c:pt idx="14">
                  <c:v>17.686877228361254</c:v>
                </c:pt>
                <c:pt idx="15">
                  <c:v>68.286877228361163</c:v>
                </c:pt>
                <c:pt idx="16">
                  <c:v>117.38687722836119</c:v>
                </c:pt>
                <c:pt idx="17">
                  <c:v>164.78687722836116</c:v>
                </c:pt>
                <c:pt idx="18">
                  <c:v>210.38687722836119</c:v>
                </c:pt>
                <c:pt idx="19">
                  <c:v>254.08687722836123</c:v>
                </c:pt>
                <c:pt idx="20">
                  <c:v>295.88687722836119</c:v>
                </c:pt>
                <c:pt idx="21">
                  <c:v>335.48687722836121</c:v>
                </c:pt>
                <c:pt idx="22">
                  <c:v>373.08687722836112</c:v>
                </c:pt>
                <c:pt idx="23">
                  <c:v>408.3868772283613</c:v>
                </c:pt>
                <c:pt idx="24">
                  <c:v>441.28687722836116</c:v>
                </c:pt>
                <c:pt idx="25">
                  <c:v>471.8868772283613</c:v>
                </c:pt>
                <c:pt idx="26">
                  <c:v>499.98687722836121</c:v>
                </c:pt>
                <c:pt idx="27">
                  <c:v>525.68687722836125</c:v>
                </c:pt>
                <c:pt idx="28">
                  <c:v>548.78687722836116</c:v>
                </c:pt>
                <c:pt idx="29">
                  <c:v>569.18687722836125</c:v>
                </c:pt>
                <c:pt idx="30">
                  <c:v>587.08687722836112</c:v>
                </c:pt>
                <c:pt idx="31">
                  <c:v>602.18687722836125</c:v>
                </c:pt>
                <c:pt idx="32">
                  <c:v>614.58687722836112</c:v>
                </c:pt>
                <c:pt idx="33">
                  <c:v>624.28687722836116</c:v>
                </c:pt>
                <c:pt idx="34">
                  <c:v>631.28687722836116</c:v>
                </c:pt>
                <c:pt idx="35">
                  <c:v>635.48687722836121</c:v>
                </c:pt>
                <c:pt idx="36">
                  <c:v>636.78687722836116</c:v>
                </c:pt>
                <c:pt idx="37">
                  <c:v>731.23645989417594</c:v>
                </c:pt>
                <c:pt idx="38">
                  <c:v>727.03645989417589</c:v>
                </c:pt>
                <c:pt idx="39">
                  <c:v>720.03645989417589</c:v>
                </c:pt>
                <c:pt idx="40">
                  <c:v>710.43645989417598</c:v>
                </c:pt>
                <c:pt idx="41">
                  <c:v>697.93645989417598</c:v>
                </c:pt>
                <c:pt idx="42">
                  <c:v>682.83645989417585</c:v>
                </c:pt>
                <c:pt idx="43">
                  <c:v>665.03645989417589</c:v>
                </c:pt>
                <c:pt idx="44">
                  <c:v>644.53645989417589</c:v>
                </c:pt>
                <c:pt idx="45">
                  <c:v>621.43645989417598</c:v>
                </c:pt>
                <c:pt idx="46">
                  <c:v>595.83645989417585</c:v>
                </c:pt>
                <c:pt idx="47">
                  <c:v>567.63645989417603</c:v>
                </c:pt>
                <c:pt idx="48">
                  <c:v>537.13645989417603</c:v>
                </c:pt>
                <c:pt idx="49">
                  <c:v>504.13645989417603</c:v>
                </c:pt>
                <c:pt idx="50">
                  <c:v>468.83645989417585</c:v>
                </c:pt>
                <c:pt idx="51">
                  <c:v>431.33645989417585</c:v>
                </c:pt>
                <c:pt idx="52">
                  <c:v>391.63645989417591</c:v>
                </c:pt>
                <c:pt idx="53">
                  <c:v>349.83645989417596</c:v>
                </c:pt>
                <c:pt idx="54">
                  <c:v>306.13645989417591</c:v>
                </c:pt>
                <c:pt idx="55">
                  <c:v>260.53645989417589</c:v>
                </c:pt>
                <c:pt idx="56">
                  <c:v>213.13645989417591</c:v>
                </c:pt>
                <c:pt idx="57">
                  <c:v>164.13645989417591</c:v>
                </c:pt>
                <c:pt idx="58">
                  <c:v>113.53645989417589</c:v>
                </c:pt>
                <c:pt idx="59">
                  <c:v>61.536459894175891</c:v>
                </c:pt>
                <c:pt idx="60">
                  <c:v>8.2364598941759368</c:v>
                </c:pt>
                <c:pt idx="61">
                  <c:v>-46.063540105824018</c:v>
                </c:pt>
                <c:pt idx="62">
                  <c:v>-101.36354010582409</c:v>
                </c:pt>
                <c:pt idx="63">
                  <c:v>-157.26354010582406</c:v>
                </c:pt>
                <c:pt idx="64">
                  <c:v>-213.76354010582406</c:v>
                </c:pt>
                <c:pt idx="65">
                  <c:v>-270.26354010582406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3-4962-9F6B-BFA2EEA236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Main_Day1!$M$6:$M$78</c:f>
              <c:numCache>
                <c:formatCode>General</c:formatCode>
                <c:ptCount val="73"/>
                <c:pt idx="0">
                  <c:v>9.8000000000000007</c:v>
                </c:pt>
                <c:pt idx="1">
                  <c:v>36</c:v>
                </c:pt>
                <c:pt idx="2">
                  <c:v>75.099999999999994</c:v>
                </c:pt>
                <c:pt idx="3">
                  <c:v>121.8</c:v>
                </c:pt>
                <c:pt idx="4">
                  <c:v>173.1</c:v>
                </c:pt>
                <c:pt idx="5">
                  <c:v>227.1</c:v>
                </c:pt>
                <c:pt idx="6">
                  <c:v>282.60000000000002</c:v>
                </c:pt>
                <c:pt idx="7">
                  <c:v>338.9</c:v>
                </c:pt>
                <c:pt idx="8">
                  <c:v>395.5</c:v>
                </c:pt>
                <c:pt idx="9">
                  <c:v>451.9</c:v>
                </c:pt>
                <c:pt idx="10">
                  <c:v>507.9</c:v>
                </c:pt>
                <c:pt idx="11">
                  <c:v>563.1</c:v>
                </c:pt>
                <c:pt idx="12">
                  <c:v>617.5</c:v>
                </c:pt>
                <c:pt idx="13">
                  <c:v>670.7</c:v>
                </c:pt>
                <c:pt idx="14">
                  <c:v>722.7</c:v>
                </c:pt>
                <c:pt idx="15">
                  <c:v>773.3</c:v>
                </c:pt>
                <c:pt idx="16">
                  <c:v>822.4</c:v>
                </c:pt>
                <c:pt idx="17">
                  <c:v>869.8</c:v>
                </c:pt>
                <c:pt idx="18">
                  <c:v>915.4</c:v>
                </c:pt>
                <c:pt idx="19">
                  <c:v>959.1</c:v>
                </c:pt>
                <c:pt idx="20">
                  <c:v>1000.9</c:v>
                </c:pt>
                <c:pt idx="21">
                  <c:v>1040.5</c:v>
                </c:pt>
                <c:pt idx="22">
                  <c:v>1078.0999999999999</c:v>
                </c:pt>
                <c:pt idx="23">
                  <c:v>1113.4000000000001</c:v>
                </c:pt>
                <c:pt idx="24">
                  <c:v>1146.3</c:v>
                </c:pt>
                <c:pt idx="25">
                  <c:v>1176.9000000000001</c:v>
                </c:pt>
                <c:pt idx="26">
                  <c:v>1205</c:v>
                </c:pt>
                <c:pt idx="27">
                  <c:v>1230.7</c:v>
                </c:pt>
                <c:pt idx="28">
                  <c:v>1253.8</c:v>
                </c:pt>
                <c:pt idx="29">
                  <c:v>1274.2</c:v>
                </c:pt>
                <c:pt idx="30">
                  <c:v>1292.0999999999999</c:v>
                </c:pt>
                <c:pt idx="31">
                  <c:v>1307.2</c:v>
                </c:pt>
                <c:pt idx="32">
                  <c:v>1319.6</c:v>
                </c:pt>
                <c:pt idx="33">
                  <c:v>1329.3</c:v>
                </c:pt>
                <c:pt idx="34">
                  <c:v>1336.3</c:v>
                </c:pt>
                <c:pt idx="35">
                  <c:v>1340.5</c:v>
                </c:pt>
                <c:pt idx="36">
                  <c:v>1341.8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C3-4962-9F6B-BFA2EEA236C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Main_Day1!$N$6:$N$78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-609.26354010582406</c:v>
                </c:pt>
                <c:pt idx="38">
                  <c:v>-609.26354010582406</c:v>
                </c:pt>
                <c:pt idx="39">
                  <c:v>-609.26354010582406</c:v>
                </c:pt>
                <c:pt idx="40">
                  <c:v>-609.26354010582406</c:v>
                </c:pt>
                <c:pt idx="41">
                  <c:v>-609.26354010582406</c:v>
                </c:pt>
                <c:pt idx="42">
                  <c:v>-609.26354010582406</c:v>
                </c:pt>
                <c:pt idx="43">
                  <c:v>-609.26354010582406</c:v>
                </c:pt>
                <c:pt idx="44">
                  <c:v>-609.26354010582406</c:v>
                </c:pt>
                <c:pt idx="45">
                  <c:v>-609.26354010582406</c:v>
                </c:pt>
                <c:pt idx="46">
                  <c:v>-609.26354010582406</c:v>
                </c:pt>
                <c:pt idx="47">
                  <c:v>-609.26354010582406</c:v>
                </c:pt>
                <c:pt idx="48">
                  <c:v>-609.26354010582406</c:v>
                </c:pt>
                <c:pt idx="49">
                  <c:v>-609.26354010582406</c:v>
                </c:pt>
                <c:pt idx="50">
                  <c:v>-609.26354010582406</c:v>
                </c:pt>
                <c:pt idx="51">
                  <c:v>-609.26354010582406</c:v>
                </c:pt>
                <c:pt idx="52">
                  <c:v>-609.26354010582406</c:v>
                </c:pt>
                <c:pt idx="53">
                  <c:v>-609.26354010582406</c:v>
                </c:pt>
                <c:pt idx="54">
                  <c:v>-609.26354010582406</c:v>
                </c:pt>
                <c:pt idx="55">
                  <c:v>-609.26354010582406</c:v>
                </c:pt>
                <c:pt idx="56">
                  <c:v>-609.26354010582406</c:v>
                </c:pt>
                <c:pt idx="57">
                  <c:v>-609.26354010582406</c:v>
                </c:pt>
                <c:pt idx="58">
                  <c:v>-609.26354010582406</c:v>
                </c:pt>
                <c:pt idx="59">
                  <c:v>-609.26354010582406</c:v>
                </c:pt>
                <c:pt idx="60">
                  <c:v>-609.26354010582406</c:v>
                </c:pt>
                <c:pt idx="61">
                  <c:v>-609.26354010582406</c:v>
                </c:pt>
                <c:pt idx="62">
                  <c:v>-609.26354010582406</c:v>
                </c:pt>
                <c:pt idx="63">
                  <c:v>-609.26354010582406</c:v>
                </c:pt>
                <c:pt idx="64">
                  <c:v>-609.26354010582406</c:v>
                </c:pt>
                <c:pt idx="65">
                  <c:v>-609.26354010582406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C3-4962-9F6B-BFA2EEA2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800"/>
              <a:t>P-t</a:t>
            </a:r>
            <a:r>
              <a:rPr lang="ja-JP" altLang="en-US" sz="1800"/>
              <a:t>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4786669858205951E-2"/>
          <c:y val="0.16533333333333333"/>
          <c:w val="0.8789691415717652"/>
          <c:h val="0.74243790578809232"/>
        </c:manualLayout>
      </c:layout>
      <c:scatterChart>
        <c:scatterStyle val="lineMarker"/>
        <c:varyColors val="0"/>
        <c:ser>
          <c:idx val="1"/>
          <c:order val="1"/>
          <c:tx>
            <c:strRef>
              <c:f>Main_Day1!$L$5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Main_Day1!$L$6:$L$78</c:f>
              <c:numCache>
                <c:formatCode>General</c:formatCode>
                <c:ptCount val="73"/>
                <c:pt idx="0">
                  <c:v>9.8000000000000007</c:v>
                </c:pt>
                <c:pt idx="1">
                  <c:v>36</c:v>
                </c:pt>
                <c:pt idx="2">
                  <c:v>75.099999999999994</c:v>
                </c:pt>
                <c:pt idx="3">
                  <c:v>121.8</c:v>
                </c:pt>
                <c:pt idx="4">
                  <c:v>173.1</c:v>
                </c:pt>
                <c:pt idx="5">
                  <c:v>227.1</c:v>
                </c:pt>
                <c:pt idx="6">
                  <c:v>282.60000000000002</c:v>
                </c:pt>
                <c:pt idx="7">
                  <c:v>338.9</c:v>
                </c:pt>
                <c:pt idx="8">
                  <c:v>395.5</c:v>
                </c:pt>
                <c:pt idx="9">
                  <c:v>451.9</c:v>
                </c:pt>
                <c:pt idx="10">
                  <c:v>507.9</c:v>
                </c:pt>
                <c:pt idx="11">
                  <c:v>563.1</c:v>
                </c:pt>
                <c:pt idx="12">
                  <c:v>-87.513122771638791</c:v>
                </c:pt>
                <c:pt idx="13">
                  <c:v>-34.313122771638746</c:v>
                </c:pt>
                <c:pt idx="14">
                  <c:v>17.686877228361254</c:v>
                </c:pt>
                <c:pt idx="15">
                  <c:v>68.286877228361163</c:v>
                </c:pt>
                <c:pt idx="16">
                  <c:v>117.38687722836119</c:v>
                </c:pt>
                <c:pt idx="17">
                  <c:v>164.78687722836116</c:v>
                </c:pt>
                <c:pt idx="18">
                  <c:v>210.38687722836119</c:v>
                </c:pt>
                <c:pt idx="19">
                  <c:v>254.08687722836123</c:v>
                </c:pt>
                <c:pt idx="20">
                  <c:v>295.88687722836119</c:v>
                </c:pt>
                <c:pt idx="21">
                  <c:v>335.48687722836121</c:v>
                </c:pt>
                <c:pt idx="22">
                  <c:v>373.08687722836112</c:v>
                </c:pt>
                <c:pt idx="23">
                  <c:v>408.3868772283613</c:v>
                </c:pt>
                <c:pt idx="24">
                  <c:v>441.28687722836116</c:v>
                </c:pt>
                <c:pt idx="25">
                  <c:v>471.8868772283613</c:v>
                </c:pt>
                <c:pt idx="26">
                  <c:v>499.98687722836121</c:v>
                </c:pt>
                <c:pt idx="27">
                  <c:v>525.68687722836125</c:v>
                </c:pt>
                <c:pt idx="28">
                  <c:v>548.78687722836116</c:v>
                </c:pt>
                <c:pt idx="29">
                  <c:v>569.18687722836125</c:v>
                </c:pt>
                <c:pt idx="30">
                  <c:v>587.08687722836112</c:v>
                </c:pt>
                <c:pt idx="31">
                  <c:v>602.18687722836125</c:v>
                </c:pt>
                <c:pt idx="32">
                  <c:v>614.58687722836112</c:v>
                </c:pt>
                <c:pt idx="33">
                  <c:v>624.28687722836116</c:v>
                </c:pt>
                <c:pt idx="34">
                  <c:v>631.28687722836116</c:v>
                </c:pt>
                <c:pt idx="35">
                  <c:v>635.48687722836121</c:v>
                </c:pt>
                <c:pt idx="36">
                  <c:v>636.78687722836116</c:v>
                </c:pt>
                <c:pt idx="37">
                  <c:v>731.23645989417594</c:v>
                </c:pt>
                <c:pt idx="38">
                  <c:v>727.03645989417589</c:v>
                </c:pt>
                <c:pt idx="39">
                  <c:v>720.03645989417589</c:v>
                </c:pt>
                <c:pt idx="40">
                  <c:v>710.43645989417598</c:v>
                </c:pt>
                <c:pt idx="41">
                  <c:v>697.93645989417598</c:v>
                </c:pt>
                <c:pt idx="42">
                  <c:v>682.83645989417585</c:v>
                </c:pt>
                <c:pt idx="43">
                  <c:v>665.03645989417589</c:v>
                </c:pt>
                <c:pt idx="44">
                  <c:v>644.53645989417589</c:v>
                </c:pt>
                <c:pt idx="45">
                  <c:v>621.43645989417598</c:v>
                </c:pt>
                <c:pt idx="46">
                  <c:v>595.83645989417585</c:v>
                </c:pt>
                <c:pt idx="47">
                  <c:v>567.63645989417603</c:v>
                </c:pt>
                <c:pt idx="48">
                  <c:v>537.13645989417603</c:v>
                </c:pt>
                <c:pt idx="49">
                  <c:v>504.13645989417603</c:v>
                </c:pt>
                <c:pt idx="50">
                  <c:v>468.83645989417585</c:v>
                </c:pt>
                <c:pt idx="51">
                  <c:v>431.33645989417585</c:v>
                </c:pt>
                <c:pt idx="52">
                  <c:v>391.63645989417591</c:v>
                </c:pt>
                <c:pt idx="53">
                  <c:v>349.83645989417596</c:v>
                </c:pt>
                <c:pt idx="54">
                  <c:v>306.13645989417591</c:v>
                </c:pt>
                <c:pt idx="55">
                  <c:v>260.53645989417589</c:v>
                </c:pt>
                <c:pt idx="56">
                  <c:v>213.13645989417591</c:v>
                </c:pt>
                <c:pt idx="57">
                  <c:v>164.13645989417591</c:v>
                </c:pt>
                <c:pt idx="58">
                  <c:v>113.53645989417589</c:v>
                </c:pt>
                <c:pt idx="59">
                  <c:v>61.536459894175891</c:v>
                </c:pt>
                <c:pt idx="60">
                  <c:v>8.2364598941759368</c:v>
                </c:pt>
                <c:pt idx="61">
                  <c:v>-46.063540105824018</c:v>
                </c:pt>
                <c:pt idx="62">
                  <c:v>-101.36354010582409</c:v>
                </c:pt>
                <c:pt idx="63">
                  <c:v>-157.26354010582406</c:v>
                </c:pt>
                <c:pt idx="64">
                  <c:v>-213.76354010582406</c:v>
                </c:pt>
                <c:pt idx="65">
                  <c:v>-270.26354010582406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D2-4880-893C-9D71E3250759}"/>
            </c:ext>
          </c:extLst>
        </c:ser>
        <c:ser>
          <c:idx val="2"/>
          <c:order val="2"/>
          <c:tx>
            <c:strRef>
              <c:f>Main_Day1!$M$5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Main_Day1!$M$6:$M$78</c:f>
              <c:numCache>
                <c:formatCode>General</c:formatCode>
                <c:ptCount val="73"/>
                <c:pt idx="0">
                  <c:v>9.8000000000000007</c:v>
                </c:pt>
                <c:pt idx="1">
                  <c:v>36</c:v>
                </c:pt>
                <c:pt idx="2">
                  <c:v>75.099999999999994</c:v>
                </c:pt>
                <c:pt idx="3">
                  <c:v>121.8</c:v>
                </c:pt>
                <c:pt idx="4">
                  <c:v>173.1</c:v>
                </c:pt>
                <c:pt idx="5">
                  <c:v>227.1</c:v>
                </c:pt>
                <c:pt idx="6">
                  <c:v>282.60000000000002</c:v>
                </c:pt>
                <c:pt idx="7">
                  <c:v>338.9</c:v>
                </c:pt>
                <c:pt idx="8">
                  <c:v>395.5</c:v>
                </c:pt>
                <c:pt idx="9">
                  <c:v>451.9</c:v>
                </c:pt>
                <c:pt idx="10">
                  <c:v>507.9</c:v>
                </c:pt>
                <c:pt idx="11">
                  <c:v>563.1</c:v>
                </c:pt>
                <c:pt idx="12">
                  <c:v>617.5</c:v>
                </c:pt>
                <c:pt idx="13">
                  <c:v>670.7</c:v>
                </c:pt>
                <c:pt idx="14">
                  <c:v>722.7</c:v>
                </c:pt>
                <c:pt idx="15">
                  <c:v>773.3</c:v>
                </c:pt>
                <c:pt idx="16">
                  <c:v>822.4</c:v>
                </c:pt>
                <c:pt idx="17">
                  <c:v>869.8</c:v>
                </c:pt>
                <c:pt idx="18">
                  <c:v>915.4</c:v>
                </c:pt>
                <c:pt idx="19">
                  <c:v>959.1</c:v>
                </c:pt>
                <c:pt idx="20">
                  <c:v>1000.9</c:v>
                </c:pt>
                <c:pt idx="21">
                  <c:v>1040.5</c:v>
                </c:pt>
                <c:pt idx="22">
                  <c:v>1078.0999999999999</c:v>
                </c:pt>
                <c:pt idx="23">
                  <c:v>1113.4000000000001</c:v>
                </c:pt>
                <c:pt idx="24">
                  <c:v>1146.3</c:v>
                </c:pt>
                <c:pt idx="25">
                  <c:v>1176.9000000000001</c:v>
                </c:pt>
                <c:pt idx="26">
                  <c:v>1205</c:v>
                </c:pt>
                <c:pt idx="27">
                  <c:v>1230.7</c:v>
                </c:pt>
                <c:pt idx="28">
                  <c:v>1253.8</c:v>
                </c:pt>
                <c:pt idx="29">
                  <c:v>1274.2</c:v>
                </c:pt>
                <c:pt idx="30">
                  <c:v>1292.0999999999999</c:v>
                </c:pt>
                <c:pt idx="31">
                  <c:v>1307.2</c:v>
                </c:pt>
                <c:pt idx="32">
                  <c:v>1319.6</c:v>
                </c:pt>
                <c:pt idx="33">
                  <c:v>1329.3</c:v>
                </c:pt>
                <c:pt idx="34">
                  <c:v>1336.3</c:v>
                </c:pt>
                <c:pt idx="35">
                  <c:v>1340.5</c:v>
                </c:pt>
                <c:pt idx="36">
                  <c:v>1341.8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D2-4880-893C-9D71E3250759}"/>
            </c:ext>
          </c:extLst>
        </c:ser>
        <c:ser>
          <c:idx val="3"/>
          <c:order val="3"/>
          <c:tx>
            <c:strRef>
              <c:f>Main_Day1!$N$5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Main_Day1!$N$6:$N$78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-609.26354010582406</c:v>
                </c:pt>
                <c:pt idx="38">
                  <c:v>-609.26354010582406</c:v>
                </c:pt>
                <c:pt idx="39">
                  <c:v>-609.26354010582406</c:v>
                </c:pt>
                <c:pt idx="40">
                  <c:v>-609.26354010582406</c:v>
                </c:pt>
                <c:pt idx="41">
                  <c:v>-609.26354010582406</c:v>
                </c:pt>
                <c:pt idx="42">
                  <c:v>-609.26354010582406</c:v>
                </c:pt>
                <c:pt idx="43">
                  <c:v>-609.26354010582406</c:v>
                </c:pt>
                <c:pt idx="44">
                  <c:v>-609.26354010582406</c:v>
                </c:pt>
                <c:pt idx="45">
                  <c:v>-609.26354010582406</c:v>
                </c:pt>
                <c:pt idx="46">
                  <c:v>-609.26354010582406</c:v>
                </c:pt>
                <c:pt idx="47">
                  <c:v>-609.26354010582406</c:v>
                </c:pt>
                <c:pt idx="48">
                  <c:v>-609.26354010582406</c:v>
                </c:pt>
                <c:pt idx="49">
                  <c:v>-609.26354010582406</c:v>
                </c:pt>
                <c:pt idx="50">
                  <c:v>-609.26354010582406</c:v>
                </c:pt>
                <c:pt idx="51">
                  <c:v>-609.26354010582406</c:v>
                </c:pt>
                <c:pt idx="52">
                  <c:v>-609.26354010582406</c:v>
                </c:pt>
                <c:pt idx="53">
                  <c:v>-609.26354010582406</c:v>
                </c:pt>
                <c:pt idx="54">
                  <c:v>-609.26354010582406</c:v>
                </c:pt>
                <c:pt idx="55">
                  <c:v>-609.26354010582406</c:v>
                </c:pt>
                <c:pt idx="56">
                  <c:v>-609.26354010582406</c:v>
                </c:pt>
                <c:pt idx="57">
                  <c:v>-609.26354010582406</c:v>
                </c:pt>
                <c:pt idx="58">
                  <c:v>-609.26354010582406</c:v>
                </c:pt>
                <c:pt idx="59">
                  <c:v>-609.26354010582406</c:v>
                </c:pt>
                <c:pt idx="60">
                  <c:v>-609.26354010582406</c:v>
                </c:pt>
                <c:pt idx="61">
                  <c:v>-609.26354010582406</c:v>
                </c:pt>
                <c:pt idx="62">
                  <c:v>-609.26354010582406</c:v>
                </c:pt>
                <c:pt idx="63">
                  <c:v>-609.26354010582406</c:v>
                </c:pt>
                <c:pt idx="64">
                  <c:v>-609.26354010582406</c:v>
                </c:pt>
                <c:pt idx="65">
                  <c:v>-609.26354010582406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scatterChart>
        <c:scatterStyle val="lineMarker"/>
        <c:varyColors val="0"/>
        <c:ser>
          <c:idx val="0"/>
          <c:order val="0"/>
          <c:tx>
            <c:strRef>
              <c:f>Main_Day1!$K$5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Main_Day1!$K$6:$K$78</c:f>
              <c:numCache>
                <c:formatCode>General</c:formatCode>
                <c:ptCount val="73"/>
                <c:pt idx="0">
                  <c:v>4.9999972777777772</c:v>
                </c:pt>
                <c:pt idx="1">
                  <c:v>4.9999899999999995</c:v>
                </c:pt>
                <c:pt idx="2">
                  <c:v>4.9999791388888886</c:v>
                </c:pt>
                <c:pt idx="3">
                  <c:v>4.9999661666666659</c:v>
                </c:pt>
                <c:pt idx="4">
                  <c:v>4.9999519166666664</c:v>
                </c:pt>
                <c:pt idx="5">
                  <c:v>4.999936916666667</c:v>
                </c:pt>
                <c:pt idx="6">
                  <c:v>4.9999214999999992</c:v>
                </c:pt>
                <c:pt idx="7">
                  <c:v>4.9999058611111113</c:v>
                </c:pt>
                <c:pt idx="8">
                  <c:v>4.9998901388888886</c:v>
                </c:pt>
                <c:pt idx="9">
                  <c:v>4.9998744722222224</c:v>
                </c:pt>
                <c:pt idx="10">
                  <c:v>4.9998589166666667</c:v>
                </c:pt>
                <c:pt idx="11">
                  <c:v>4.999843583333333</c:v>
                </c:pt>
                <c:pt idx="12">
                  <c:v>5.0000243092007697</c:v>
                </c:pt>
                <c:pt idx="13">
                  <c:v>5.0000095314229922</c:v>
                </c:pt>
                <c:pt idx="14">
                  <c:v>4.9999950869785481</c:v>
                </c:pt>
                <c:pt idx="15">
                  <c:v>4.9999810314229913</c:v>
                </c:pt>
                <c:pt idx="16">
                  <c:v>4.9999673925341028</c:v>
                </c:pt>
                <c:pt idx="17">
                  <c:v>4.9999542258674365</c:v>
                </c:pt>
                <c:pt idx="18">
                  <c:v>4.9999415592007699</c:v>
                </c:pt>
                <c:pt idx="19">
                  <c:v>4.9999294203118811</c:v>
                </c:pt>
                <c:pt idx="20">
                  <c:v>4.9999178092007703</c:v>
                </c:pt>
                <c:pt idx="21">
                  <c:v>4.9999068092007697</c:v>
                </c:pt>
                <c:pt idx="22">
                  <c:v>4.9998963647563262</c:v>
                </c:pt>
                <c:pt idx="23">
                  <c:v>4.9998865592007702</c:v>
                </c:pt>
                <c:pt idx="24">
                  <c:v>4.999877420311881</c:v>
                </c:pt>
                <c:pt idx="25">
                  <c:v>4.9998689203118811</c:v>
                </c:pt>
                <c:pt idx="26">
                  <c:v>4.9998611147563254</c:v>
                </c:pt>
                <c:pt idx="27">
                  <c:v>4.9998539758674365</c:v>
                </c:pt>
                <c:pt idx="28">
                  <c:v>4.9998475592007701</c:v>
                </c:pt>
                <c:pt idx="29">
                  <c:v>4.9998418925341026</c:v>
                </c:pt>
                <c:pt idx="30">
                  <c:v>4.999836920311882</c:v>
                </c:pt>
                <c:pt idx="31">
                  <c:v>4.999832725867436</c:v>
                </c:pt>
                <c:pt idx="32">
                  <c:v>4.9998292814229925</c:v>
                </c:pt>
                <c:pt idx="33">
                  <c:v>4.9998265869785472</c:v>
                </c:pt>
                <c:pt idx="34">
                  <c:v>4.9998246425341026</c:v>
                </c:pt>
                <c:pt idx="35">
                  <c:v>4.9998234758674363</c:v>
                </c:pt>
                <c:pt idx="36">
                  <c:v>4.9998231147563246</c:v>
                </c:pt>
                <c:pt idx="37">
                  <c:v>4.9997968787611402</c:v>
                </c:pt>
                <c:pt idx="38">
                  <c:v>4.9997980454278075</c:v>
                </c:pt>
                <c:pt idx="39">
                  <c:v>4.999799989872252</c:v>
                </c:pt>
                <c:pt idx="40">
                  <c:v>4.9998026565389182</c:v>
                </c:pt>
                <c:pt idx="41">
                  <c:v>4.9998061287611399</c:v>
                </c:pt>
                <c:pt idx="42">
                  <c:v>4.9998103232055859</c:v>
                </c:pt>
                <c:pt idx="43">
                  <c:v>4.9998152676500291</c:v>
                </c:pt>
                <c:pt idx="44">
                  <c:v>4.999820962094474</c:v>
                </c:pt>
                <c:pt idx="45">
                  <c:v>4.9998273787611405</c:v>
                </c:pt>
                <c:pt idx="46">
                  <c:v>4.999834489872252</c:v>
                </c:pt>
                <c:pt idx="47">
                  <c:v>4.9998423232055851</c:v>
                </c:pt>
                <c:pt idx="48">
                  <c:v>4.9998507954278075</c:v>
                </c:pt>
                <c:pt idx="49">
                  <c:v>4.9998599620944733</c:v>
                </c:pt>
                <c:pt idx="50">
                  <c:v>4.9998697676500292</c:v>
                </c:pt>
                <c:pt idx="51">
                  <c:v>4.9998801843166962</c:v>
                </c:pt>
                <c:pt idx="52">
                  <c:v>4.9998912120944734</c:v>
                </c:pt>
                <c:pt idx="53">
                  <c:v>4.9999028232055851</c:v>
                </c:pt>
                <c:pt idx="54">
                  <c:v>4.9999149620944738</c:v>
                </c:pt>
                <c:pt idx="55">
                  <c:v>4.9999276287611414</c:v>
                </c:pt>
                <c:pt idx="56">
                  <c:v>4.9999407954278068</c:v>
                </c:pt>
                <c:pt idx="57">
                  <c:v>4.9999544065389179</c:v>
                </c:pt>
                <c:pt idx="58">
                  <c:v>4.9999684620944747</c:v>
                </c:pt>
                <c:pt idx="59">
                  <c:v>4.9999829065389187</c:v>
                </c:pt>
                <c:pt idx="60">
                  <c:v>4.9999977120944727</c:v>
                </c:pt>
                <c:pt idx="61">
                  <c:v>5.0000127954278071</c:v>
                </c:pt>
                <c:pt idx="62">
                  <c:v>5.0000281565389182</c:v>
                </c:pt>
                <c:pt idx="63">
                  <c:v>5.0000436843166955</c:v>
                </c:pt>
                <c:pt idx="64">
                  <c:v>5.00005937876114</c:v>
                </c:pt>
                <c:pt idx="65">
                  <c:v>5.0000750732055845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57272"/>
        <c:axId val="866442872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0802286605375749E-2"/>
              <c:y val="8.39292719988948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  <c:max val="1500"/>
          <c:min val="-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valAx>
        <c:axId val="866442872"/>
        <c:scaling>
          <c:orientation val="minMax"/>
          <c:max val="6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457272"/>
        <c:crosses val="max"/>
        <c:crossBetween val="midCat"/>
      </c:valAx>
      <c:valAx>
        <c:axId val="86645727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3069819960055378"/>
              <c:y val="9.09468158585439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86644287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9072</xdr:colOff>
          <xdr:row>1</xdr:row>
          <xdr:rowOff>9070</xdr:rowOff>
        </xdr:from>
        <xdr:to>
          <xdr:col>12</xdr:col>
          <xdr:colOff>9072</xdr:colOff>
          <xdr:row>2</xdr:row>
          <xdr:rowOff>9072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6B2D18-7FD7-428B-8C63-BA93D100A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571500</xdr:colOff>
      <xdr:row>59</xdr:row>
      <xdr:rowOff>111579</xdr:rowOff>
    </xdr:from>
    <xdr:to>
      <xdr:col>12</xdr:col>
      <xdr:colOff>625929</xdr:colOff>
      <xdr:row>71</xdr:row>
      <xdr:rowOff>133350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F5F9D620-DB1C-49B9-9A04-AFF9EB1AF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145143</xdr:colOff>
      <xdr:row>6</xdr:row>
      <xdr:rowOff>9072</xdr:rowOff>
    </xdr:from>
    <xdr:to>
      <xdr:col>24</xdr:col>
      <xdr:colOff>272141</xdr:colOff>
      <xdr:row>22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8C0D469A-5096-44B4-8936-72B8C9151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A3A3-598B-4E95-89A2-51FFC810ACE5}">
  <sheetPr codeName="Sheet1"/>
  <dimension ref="A1:N78"/>
  <sheetViews>
    <sheetView tabSelected="1" topLeftCell="D1" zoomScale="70" zoomScaleNormal="70" workbookViewId="0">
      <selection activeCell="R2" sqref="R2"/>
    </sheetView>
  </sheetViews>
  <sheetFormatPr defaultRowHeight="18" x14ac:dyDescent="0.55000000000000004"/>
  <cols>
    <col min="1" max="1" width="9.75" customWidth="1"/>
    <col min="2" max="2" width="15" customWidth="1"/>
    <col min="3" max="4" width="15.6640625" customWidth="1"/>
    <col min="6" max="6" width="9.4140625" customWidth="1"/>
    <col min="10" max="10" width="15.4140625" bestFit="1" customWidth="1"/>
    <col min="11" max="11" width="17.75" customWidth="1"/>
  </cols>
  <sheetData>
    <row r="1" spans="1:14" x14ac:dyDescent="0.55000000000000004">
      <c r="A1" t="s">
        <v>1</v>
      </c>
    </row>
    <row r="2" spans="1:14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14" x14ac:dyDescent="0.55000000000000004">
      <c r="A3" s="1" t="s">
        <v>5</v>
      </c>
      <c r="B3" s="1" t="s">
        <v>0</v>
      </c>
      <c r="C3" s="1" t="s">
        <v>5</v>
      </c>
      <c r="D3" s="1" t="s">
        <v>0</v>
      </c>
    </row>
    <row r="4" spans="1:14" x14ac:dyDescent="0.55000000000000004">
      <c r="A4" s="1"/>
      <c r="B4" s="1"/>
      <c r="C4" s="1"/>
      <c r="D4" s="1"/>
      <c r="J4" s="10" t="s">
        <v>17</v>
      </c>
      <c r="K4" s="10"/>
      <c r="L4" s="10"/>
      <c r="M4" s="10"/>
      <c r="N4" s="10"/>
    </row>
    <row r="5" spans="1:14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  <c r="J5" t="s">
        <v>6</v>
      </c>
      <c r="K5" t="s">
        <v>10</v>
      </c>
      <c r="L5" t="s">
        <v>12</v>
      </c>
      <c r="M5" t="s">
        <v>13</v>
      </c>
      <c r="N5" t="s">
        <v>14</v>
      </c>
    </row>
    <row r="6" spans="1:14" x14ac:dyDescent="0.55000000000000004">
      <c r="A6">
        <v>1</v>
      </c>
      <c r="B6" s="3">
        <v>43751.25</v>
      </c>
      <c r="C6">
        <f>D6/3600</f>
        <v>4999.9972777777775</v>
      </c>
      <c r="D6">
        <f>5000*3600-E6</f>
        <v>17999990.199999999</v>
      </c>
      <c r="E6">
        <f>F6+G6</f>
        <v>9.8000000000000007</v>
      </c>
      <c r="F6" s="6">
        <v>9.8000000000000007</v>
      </c>
      <c r="G6" s="7">
        <v>0</v>
      </c>
      <c r="J6" s="3">
        <f>B6</f>
        <v>43751.25</v>
      </c>
      <c r="K6">
        <f>C6/1000</f>
        <v>4.9999972777777772</v>
      </c>
      <c r="L6">
        <f>E6</f>
        <v>9.8000000000000007</v>
      </c>
      <c r="M6">
        <f>F6</f>
        <v>9.8000000000000007</v>
      </c>
      <c r="N6">
        <f>G6</f>
        <v>0</v>
      </c>
    </row>
    <row r="7" spans="1:14" x14ac:dyDescent="0.55000000000000004">
      <c r="A7">
        <v>2</v>
      </c>
      <c r="B7" s="3">
        <v>43751.256944444445</v>
      </c>
      <c r="C7">
        <f t="shared" ref="C7:C70" si="0">D7/3600</f>
        <v>4999.99</v>
      </c>
      <c r="D7">
        <f t="shared" ref="D7:D70" si="1">5000*3600-E7</f>
        <v>17999964</v>
      </c>
      <c r="E7">
        <f>F7+G7</f>
        <v>36</v>
      </c>
      <c r="F7" s="6">
        <v>36</v>
      </c>
      <c r="G7" s="7">
        <v>0</v>
      </c>
      <c r="J7" s="3">
        <f>B7</f>
        <v>43751.256944444445</v>
      </c>
      <c r="K7">
        <f>C7/1000</f>
        <v>4.9999899999999995</v>
      </c>
      <c r="L7">
        <f>E7</f>
        <v>36</v>
      </c>
      <c r="M7">
        <f>F7</f>
        <v>36</v>
      </c>
      <c r="N7">
        <f>G7</f>
        <v>0</v>
      </c>
    </row>
    <row r="8" spans="1:14" x14ac:dyDescent="0.55000000000000004">
      <c r="A8">
        <v>3</v>
      </c>
      <c r="B8" s="3">
        <v>43751.263888888891</v>
      </c>
      <c r="C8">
        <f t="shared" si="0"/>
        <v>4999.9791388888889</v>
      </c>
      <c r="D8">
        <f>5000*3600-E8</f>
        <v>17999924.899999999</v>
      </c>
      <c r="E8">
        <f t="shared" ref="E8:E71" si="2">F8+G8</f>
        <v>75.099999999999994</v>
      </c>
      <c r="F8" s="6">
        <v>75.099999999999994</v>
      </c>
      <c r="G8" s="7">
        <v>0</v>
      </c>
      <c r="J8" s="3">
        <f t="shared" ref="J8:J71" si="3">B8</f>
        <v>43751.263888888891</v>
      </c>
      <c r="K8">
        <f>C8/1000</f>
        <v>4.9999791388888886</v>
      </c>
      <c r="L8">
        <f>E8</f>
        <v>75.099999999999994</v>
      </c>
      <c r="M8">
        <f>F8</f>
        <v>75.099999999999994</v>
      </c>
      <c r="N8">
        <f>G8</f>
        <v>0</v>
      </c>
    </row>
    <row r="9" spans="1:14" x14ac:dyDescent="0.55000000000000004">
      <c r="A9">
        <v>4</v>
      </c>
      <c r="B9" s="3">
        <v>43751.270833333336</v>
      </c>
      <c r="C9">
        <f t="shared" si="0"/>
        <v>4999.9661666666661</v>
      </c>
      <c r="D9">
        <f t="shared" si="1"/>
        <v>17999878.199999999</v>
      </c>
      <c r="E9">
        <f t="shared" si="2"/>
        <v>121.8</v>
      </c>
      <c r="F9" s="6">
        <v>121.8</v>
      </c>
      <c r="G9" s="7">
        <v>0</v>
      </c>
      <c r="J9" s="3">
        <f t="shared" si="3"/>
        <v>43751.270833333336</v>
      </c>
      <c r="K9">
        <f>C9/1000</f>
        <v>4.9999661666666659</v>
      </c>
      <c r="L9">
        <f>E9</f>
        <v>121.8</v>
      </c>
      <c r="M9">
        <f>F9</f>
        <v>121.8</v>
      </c>
      <c r="N9">
        <f>G9</f>
        <v>0</v>
      </c>
    </row>
    <row r="10" spans="1:14" x14ac:dyDescent="0.55000000000000004">
      <c r="A10">
        <v>5</v>
      </c>
      <c r="B10" s="3">
        <v>43751.277777777781</v>
      </c>
      <c r="C10">
        <f t="shared" si="0"/>
        <v>4999.951916666666</v>
      </c>
      <c r="D10">
        <f>5000*3600-E10</f>
        <v>17999826.899999999</v>
      </c>
      <c r="E10">
        <f t="shared" si="2"/>
        <v>173.1</v>
      </c>
      <c r="F10" s="6">
        <v>173.1</v>
      </c>
      <c r="G10" s="7">
        <v>0</v>
      </c>
      <c r="J10" s="3">
        <f t="shared" si="3"/>
        <v>43751.277777777781</v>
      </c>
      <c r="K10">
        <f>C10/1000</f>
        <v>4.9999519166666664</v>
      </c>
      <c r="L10">
        <f>E10</f>
        <v>173.1</v>
      </c>
      <c r="M10">
        <f>F10</f>
        <v>173.1</v>
      </c>
      <c r="N10">
        <f>G10</f>
        <v>0</v>
      </c>
    </row>
    <row r="11" spans="1:14" x14ac:dyDescent="0.55000000000000004">
      <c r="A11">
        <v>6</v>
      </c>
      <c r="B11" s="3">
        <v>43751.284722222219</v>
      </c>
      <c r="C11">
        <f t="shared" si="0"/>
        <v>4999.9369166666665</v>
      </c>
      <c r="D11">
        <f t="shared" si="1"/>
        <v>17999772.899999999</v>
      </c>
      <c r="E11">
        <f t="shared" si="2"/>
        <v>227.1</v>
      </c>
      <c r="F11" s="6">
        <v>227.1</v>
      </c>
      <c r="G11" s="7">
        <v>0</v>
      </c>
      <c r="J11" s="3">
        <f t="shared" si="3"/>
        <v>43751.284722222219</v>
      </c>
      <c r="K11">
        <f>C11/1000</f>
        <v>4.999936916666667</v>
      </c>
      <c r="L11">
        <f>E11</f>
        <v>227.1</v>
      </c>
      <c r="M11">
        <f>F11</f>
        <v>227.1</v>
      </c>
      <c r="N11">
        <f>G11</f>
        <v>0</v>
      </c>
    </row>
    <row r="12" spans="1:14" x14ac:dyDescent="0.55000000000000004">
      <c r="A12">
        <v>7</v>
      </c>
      <c r="B12" s="3">
        <v>43751.291666666664</v>
      </c>
      <c r="C12">
        <f t="shared" si="0"/>
        <v>4999.9214999999995</v>
      </c>
      <c r="D12">
        <f t="shared" si="1"/>
        <v>17999717.399999999</v>
      </c>
      <c r="E12">
        <f t="shared" si="2"/>
        <v>282.60000000000002</v>
      </c>
      <c r="F12" s="6">
        <v>282.60000000000002</v>
      </c>
      <c r="G12" s="7">
        <v>0</v>
      </c>
      <c r="J12" s="3">
        <f t="shared" si="3"/>
        <v>43751.291666666664</v>
      </c>
      <c r="K12">
        <f>C12/1000</f>
        <v>4.9999214999999992</v>
      </c>
      <c r="L12">
        <f>E12</f>
        <v>282.60000000000002</v>
      </c>
      <c r="M12">
        <f>F12</f>
        <v>282.60000000000002</v>
      </c>
      <c r="N12">
        <f>G12</f>
        <v>0</v>
      </c>
    </row>
    <row r="13" spans="1:14" x14ac:dyDescent="0.55000000000000004">
      <c r="A13">
        <v>8</v>
      </c>
      <c r="B13" s="3">
        <v>43751.298611111109</v>
      </c>
      <c r="C13">
        <f t="shared" si="0"/>
        <v>4999.9058611111113</v>
      </c>
      <c r="D13">
        <f t="shared" si="1"/>
        <v>17999661.100000001</v>
      </c>
      <c r="E13">
        <f t="shared" si="2"/>
        <v>338.9</v>
      </c>
      <c r="F13" s="6">
        <v>338.9</v>
      </c>
      <c r="G13" s="7">
        <v>0</v>
      </c>
      <c r="J13" s="3">
        <f t="shared" si="3"/>
        <v>43751.298611111109</v>
      </c>
      <c r="K13">
        <f>C13/1000</f>
        <v>4.9999058611111113</v>
      </c>
      <c r="L13">
        <f>E13</f>
        <v>338.9</v>
      </c>
      <c r="M13">
        <f>F13</f>
        <v>338.9</v>
      </c>
      <c r="N13">
        <f>G13</f>
        <v>0</v>
      </c>
    </row>
    <row r="14" spans="1:14" x14ac:dyDescent="0.55000000000000004">
      <c r="A14">
        <v>9</v>
      </c>
      <c r="B14" s="3">
        <v>43751.305555555555</v>
      </c>
      <c r="C14">
        <f t="shared" si="0"/>
        <v>4999.8901388888889</v>
      </c>
      <c r="D14">
        <f t="shared" si="1"/>
        <v>17999604.5</v>
      </c>
      <c r="E14">
        <f t="shared" si="2"/>
        <v>395.5</v>
      </c>
      <c r="F14" s="6">
        <v>395.5</v>
      </c>
      <c r="G14" s="7">
        <v>0</v>
      </c>
      <c r="J14" s="3">
        <f t="shared" si="3"/>
        <v>43751.305555555555</v>
      </c>
      <c r="K14">
        <f>C14/1000</f>
        <v>4.9998901388888886</v>
      </c>
      <c r="L14">
        <f>E14</f>
        <v>395.5</v>
      </c>
      <c r="M14">
        <f>F14</f>
        <v>395.5</v>
      </c>
      <c r="N14">
        <f>G14</f>
        <v>0</v>
      </c>
    </row>
    <row r="15" spans="1:14" x14ac:dyDescent="0.55000000000000004">
      <c r="A15">
        <v>10</v>
      </c>
      <c r="B15" s="3">
        <v>43751.3125</v>
      </c>
      <c r="C15">
        <f t="shared" si="0"/>
        <v>4999.8744722222227</v>
      </c>
      <c r="D15">
        <f t="shared" si="1"/>
        <v>17999548.100000001</v>
      </c>
      <c r="E15">
        <f t="shared" si="2"/>
        <v>451.9</v>
      </c>
      <c r="F15" s="6">
        <v>451.9</v>
      </c>
      <c r="G15" s="7">
        <v>0</v>
      </c>
      <c r="J15" s="3">
        <f t="shared" si="3"/>
        <v>43751.3125</v>
      </c>
      <c r="K15">
        <f>C15/1000</f>
        <v>4.9998744722222224</v>
      </c>
      <c r="L15">
        <f>E15</f>
        <v>451.9</v>
      </c>
      <c r="M15">
        <f>F15</f>
        <v>451.9</v>
      </c>
      <c r="N15">
        <f>G15</f>
        <v>0</v>
      </c>
    </row>
    <row r="16" spans="1:14" x14ac:dyDescent="0.55000000000000004">
      <c r="A16">
        <v>11</v>
      </c>
      <c r="B16" s="3">
        <v>43751.319444444445</v>
      </c>
      <c r="C16">
        <f t="shared" si="0"/>
        <v>4999.858916666667</v>
      </c>
      <c r="D16">
        <f t="shared" si="1"/>
        <v>17999492.100000001</v>
      </c>
      <c r="E16">
        <f t="shared" si="2"/>
        <v>507.9</v>
      </c>
      <c r="F16" s="6">
        <v>507.9</v>
      </c>
      <c r="G16" s="7">
        <v>0</v>
      </c>
      <c r="J16" s="3">
        <f t="shared" si="3"/>
        <v>43751.319444444445</v>
      </c>
      <c r="K16">
        <f>C16/1000</f>
        <v>4.9998589166666667</v>
      </c>
      <c r="L16">
        <f>E16</f>
        <v>507.9</v>
      </c>
      <c r="M16">
        <f>F16</f>
        <v>507.9</v>
      </c>
      <c r="N16">
        <f>G16</f>
        <v>0</v>
      </c>
    </row>
    <row r="17" spans="1:14" x14ac:dyDescent="0.55000000000000004">
      <c r="A17">
        <v>12</v>
      </c>
      <c r="B17" s="3">
        <v>43751.326388888891</v>
      </c>
      <c r="C17">
        <f t="shared" si="0"/>
        <v>4999.8435833333333</v>
      </c>
      <c r="D17">
        <f t="shared" si="1"/>
        <v>17999436.899999999</v>
      </c>
      <c r="E17">
        <f t="shared" si="2"/>
        <v>563.1</v>
      </c>
      <c r="F17" s="6">
        <v>563.1</v>
      </c>
      <c r="G17" s="7">
        <v>0</v>
      </c>
      <c r="J17" s="3">
        <f t="shared" si="3"/>
        <v>43751.326388888891</v>
      </c>
      <c r="K17">
        <f>C17/1000</f>
        <v>4.999843583333333</v>
      </c>
      <c r="L17">
        <f>E17</f>
        <v>563.1</v>
      </c>
      <c r="M17">
        <f>F17</f>
        <v>563.1</v>
      </c>
      <c r="N17">
        <f>G17</f>
        <v>0</v>
      </c>
    </row>
    <row r="18" spans="1:14" x14ac:dyDescent="0.55000000000000004">
      <c r="A18">
        <v>13</v>
      </c>
      <c r="B18" s="3">
        <v>43751.333333333336</v>
      </c>
      <c r="C18">
        <f t="shared" si="0"/>
        <v>5000.0243092007695</v>
      </c>
      <c r="D18">
        <f t="shared" si="1"/>
        <v>18000087.513122771</v>
      </c>
      <c r="E18">
        <f t="shared" si="2"/>
        <v>-87.513122771638791</v>
      </c>
      <c r="F18" s="6">
        <v>617.5</v>
      </c>
      <c r="G18" s="7">
        <v>-705.01312277163879</v>
      </c>
      <c r="J18" s="3">
        <f t="shared" si="3"/>
        <v>43751.333333333336</v>
      </c>
      <c r="K18">
        <f>C18/1000</f>
        <v>5.0000243092007697</v>
      </c>
      <c r="L18">
        <f>E18</f>
        <v>-87.513122771638791</v>
      </c>
      <c r="M18">
        <f>F18</f>
        <v>617.5</v>
      </c>
      <c r="N18">
        <f>G18</f>
        <v>-705.01312277163879</v>
      </c>
    </row>
    <row r="19" spans="1:14" x14ac:dyDescent="0.55000000000000004">
      <c r="A19">
        <v>14</v>
      </c>
      <c r="B19" s="3">
        <v>43751.340277777781</v>
      </c>
      <c r="C19">
        <f t="shared" si="0"/>
        <v>5000.009531422992</v>
      </c>
      <c r="D19">
        <f t="shared" si="1"/>
        <v>18000034.313122772</v>
      </c>
      <c r="E19">
        <f t="shared" si="2"/>
        <v>-34.313122771638746</v>
      </c>
      <c r="F19" s="6">
        <v>670.7</v>
      </c>
      <c r="G19" s="7">
        <v>-705.01312277163879</v>
      </c>
      <c r="J19" s="3">
        <f t="shared" si="3"/>
        <v>43751.340277777781</v>
      </c>
      <c r="K19">
        <f>C19/1000</f>
        <v>5.0000095314229922</v>
      </c>
      <c r="L19">
        <f>E19</f>
        <v>-34.313122771638746</v>
      </c>
      <c r="M19">
        <f>F19</f>
        <v>670.7</v>
      </c>
      <c r="N19">
        <f>G19</f>
        <v>-705.01312277163879</v>
      </c>
    </row>
    <row r="20" spans="1:14" x14ac:dyDescent="0.55000000000000004">
      <c r="A20">
        <v>15</v>
      </c>
      <c r="B20" s="3">
        <v>43751.347222222219</v>
      </c>
      <c r="C20">
        <f t="shared" si="0"/>
        <v>4999.995086978548</v>
      </c>
      <c r="D20">
        <f t="shared" si="1"/>
        <v>17999982.313122772</v>
      </c>
      <c r="E20">
        <f t="shared" si="2"/>
        <v>17.686877228361254</v>
      </c>
      <c r="F20" s="6">
        <v>722.7</v>
      </c>
      <c r="G20" s="7">
        <v>-705.01312277163879</v>
      </c>
      <c r="J20" s="3">
        <f t="shared" si="3"/>
        <v>43751.347222222219</v>
      </c>
      <c r="K20">
        <f>C20/1000</f>
        <v>4.9999950869785481</v>
      </c>
      <c r="L20">
        <f>E20</f>
        <v>17.686877228361254</v>
      </c>
      <c r="M20">
        <f>F20</f>
        <v>722.7</v>
      </c>
      <c r="N20">
        <f>G20</f>
        <v>-705.01312277163879</v>
      </c>
    </row>
    <row r="21" spans="1:14" x14ac:dyDescent="0.55000000000000004">
      <c r="A21">
        <v>16</v>
      </c>
      <c r="B21" s="3">
        <v>43751.354166666664</v>
      </c>
      <c r="C21">
        <f t="shared" si="0"/>
        <v>4999.9810314229917</v>
      </c>
      <c r="D21">
        <f t="shared" si="1"/>
        <v>17999931.71312277</v>
      </c>
      <c r="E21">
        <f t="shared" si="2"/>
        <v>68.286877228361163</v>
      </c>
      <c r="F21" s="6">
        <v>773.3</v>
      </c>
      <c r="G21" s="7">
        <v>-705.01312277163879</v>
      </c>
      <c r="J21" s="3">
        <f t="shared" si="3"/>
        <v>43751.354166666664</v>
      </c>
      <c r="K21">
        <f>C21/1000</f>
        <v>4.9999810314229913</v>
      </c>
      <c r="L21">
        <f>E21</f>
        <v>68.286877228361163</v>
      </c>
      <c r="M21">
        <f>F21</f>
        <v>773.3</v>
      </c>
      <c r="N21">
        <f>G21</f>
        <v>-705.01312277163879</v>
      </c>
    </row>
    <row r="22" spans="1:14" x14ac:dyDescent="0.55000000000000004">
      <c r="A22">
        <v>17</v>
      </c>
      <c r="B22" s="3">
        <v>43751.361111111109</v>
      </c>
      <c r="C22">
        <f t="shared" si="0"/>
        <v>4999.9673925341031</v>
      </c>
      <c r="D22">
        <f t="shared" si="1"/>
        <v>17999882.613122772</v>
      </c>
      <c r="E22">
        <f t="shared" si="2"/>
        <v>117.38687722836119</v>
      </c>
      <c r="F22" s="6">
        <v>822.4</v>
      </c>
      <c r="G22" s="7">
        <v>-705.01312277163879</v>
      </c>
      <c r="J22" s="3">
        <f t="shared" si="3"/>
        <v>43751.361111111109</v>
      </c>
      <c r="K22">
        <f>C22/1000</f>
        <v>4.9999673925341028</v>
      </c>
      <c r="L22">
        <f>E22</f>
        <v>117.38687722836119</v>
      </c>
      <c r="M22">
        <f>F22</f>
        <v>822.4</v>
      </c>
      <c r="N22">
        <f>G22</f>
        <v>-705.01312277163879</v>
      </c>
    </row>
    <row r="23" spans="1:14" x14ac:dyDescent="0.55000000000000004">
      <c r="A23">
        <v>18</v>
      </c>
      <c r="B23" s="3">
        <v>43751.368055555555</v>
      </c>
      <c r="C23">
        <f t="shared" si="0"/>
        <v>4999.9542258674364</v>
      </c>
      <c r="D23">
        <f t="shared" si="1"/>
        <v>17999835.21312277</v>
      </c>
      <c r="E23">
        <f t="shared" si="2"/>
        <v>164.78687722836116</v>
      </c>
      <c r="F23" s="6">
        <v>869.8</v>
      </c>
      <c r="G23" s="7">
        <v>-705.01312277163879</v>
      </c>
      <c r="J23" s="3">
        <f t="shared" si="3"/>
        <v>43751.368055555555</v>
      </c>
      <c r="K23">
        <f>C23/1000</f>
        <v>4.9999542258674365</v>
      </c>
      <c r="L23">
        <f>E23</f>
        <v>164.78687722836116</v>
      </c>
      <c r="M23">
        <f>F23</f>
        <v>869.8</v>
      </c>
      <c r="N23">
        <f>G23</f>
        <v>-705.01312277163879</v>
      </c>
    </row>
    <row r="24" spans="1:14" x14ac:dyDescent="0.55000000000000004">
      <c r="A24">
        <v>19</v>
      </c>
      <c r="B24" s="3">
        <v>43751.375</v>
      </c>
      <c r="C24">
        <f t="shared" si="0"/>
        <v>4999.9415592007699</v>
      </c>
      <c r="D24">
        <f t="shared" si="1"/>
        <v>17999789.613122772</v>
      </c>
      <c r="E24">
        <f t="shared" si="2"/>
        <v>210.38687722836119</v>
      </c>
      <c r="F24" s="6">
        <v>915.4</v>
      </c>
      <c r="G24" s="7">
        <v>-705.01312277163879</v>
      </c>
      <c r="J24" s="3">
        <f t="shared" si="3"/>
        <v>43751.375</v>
      </c>
      <c r="K24">
        <f>C24/1000</f>
        <v>4.9999415592007699</v>
      </c>
      <c r="L24">
        <f>E24</f>
        <v>210.38687722836119</v>
      </c>
      <c r="M24">
        <f>F24</f>
        <v>915.4</v>
      </c>
      <c r="N24">
        <f>G24</f>
        <v>-705.01312277163879</v>
      </c>
    </row>
    <row r="25" spans="1:14" x14ac:dyDescent="0.55000000000000004">
      <c r="A25">
        <v>20</v>
      </c>
      <c r="B25" s="3">
        <v>43751.381944444445</v>
      </c>
      <c r="C25">
        <f t="shared" si="0"/>
        <v>4999.9294203118816</v>
      </c>
      <c r="D25">
        <f t="shared" si="1"/>
        <v>17999745.913122773</v>
      </c>
      <c r="E25">
        <f t="shared" si="2"/>
        <v>254.08687722836123</v>
      </c>
      <c r="F25" s="6">
        <v>959.1</v>
      </c>
      <c r="G25" s="7">
        <v>-705.01312277163879</v>
      </c>
      <c r="J25" s="3">
        <f t="shared" si="3"/>
        <v>43751.381944444445</v>
      </c>
      <c r="K25">
        <f>C25/1000</f>
        <v>4.9999294203118811</v>
      </c>
      <c r="L25">
        <f>E25</f>
        <v>254.08687722836123</v>
      </c>
      <c r="M25">
        <f>F25</f>
        <v>959.1</v>
      </c>
      <c r="N25">
        <f>G25</f>
        <v>-705.01312277163879</v>
      </c>
    </row>
    <row r="26" spans="1:14" x14ac:dyDescent="0.55000000000000004">
      <c r="A26">
        <v>21</v>
      </c>
      <c r="B26" s="3">
        <v>43751.388888888891</v>
      </c>
      <c r="C26">
        <f t="shared" si="0"/>
        <v>4999.9178092007705</v>
      </c>
      <c r="D26">
        <f t="shared" si="1"/>
        <v>17999704.113122772</v>
      </c>
      <c r="E26">
        <f t="shared" si="2"/>
        <v>295.88687722836119</v>
      </c>
      <c r="F26" s="6">
        <v>1000.9</v>
      </c>
      <c r="G26" s="7">
        <v>-705.01312277163879</v>
      </c>
      <c r="J26" s="3">
        <f t="shared" si="3"/>
        <v>43751.388888888891</v>
      </c>
      <c r="K26">
        <f>C26/1000</f>
        <v>4.9999178092007703</v>
      </c>
      <c r="L26">
        <f>E26</f>
        <v>295.88687722836119</v>
      </c>
      <c r="M26">
        <f>F26</f>
        <v>1000.9</v>
      </c>
      <c r="N26">
        <f>G26</f>
        <v>-705.01312277163879</v>
      </c>
    </row>
    <row r="27" spans="1:14" x14ac:dyDescent="0.55000000000000004">
      <c r="A27">
        <v>22</v>
      </c>
      <c r="B27" s="3">
        <v>43751.395833333336</v>
      </c>
      <c r="C27">
        <f t="shared" si="0"/>
        <v>4999.9068092007701</v>
      </c>
      <c r="D27">
        <f t="shared" si="1"/>
        <v>17999664.513122771</v>
      </c>
      <c r="E27">
        <f t="shared" si="2"/>
        <v>335.48687722836121</v>
      </c>
      <c r="F27" s="6">
        <v>1040.5</v>
      </c>
      <c r="G27" s="7">
        <v>-705.01312277163879</v>
      </c>
      <c r="J27" s="3">
        <f t="shared" si="3"/>
        <v>43751.395833333336</v>
      </c>
      <c r="K27">
        <f>C27/1000</f>
        <v>4.9999068092007697</v>
      </c>
      <c r="L27">
        <f>E27</f>
        <v>335.48687722836121</v>
      </c>
      <c r="M27">
        <f>F27</f>
        <v>1040.5</v>
      </c>
      <c r="N27">
        <f>G27</f>
        <v>-705.01312277163879</v>
      </c>
    </row>
    <row r="28" spans="1:14" x14ac:dyDescent="0.55000000000000004">
      <c r="A28">
        <v>23</v>
      </c>
      <c r="B28" s="3">
        <v>43751.402777777781</v>
      </c>
      <c r="C28">
        <f t="shared" si="0"/>
        <v>4999.896364756326</v>
      </c>
      <c r="D28">
        <f t="shared" si="1"/>
        <v>17999626.913122773</v>
      </c>
      <c r="E28">
        <f t="shared" si="2"/>
        <v>373.08687722836112</v>
      </c>
      <c r="F28" s="6">
        <v>1078.0999999999999</v>
      </c>
      <c r="G28" s="7">
        <v>-705.01312277163879</v>
      </c>
      <c r="J28" s="3">
        <f t="shared" si="3"/>
        <v>43751.402777777781</v>
      </c>
      <c r="K28">
        <f>C28/1000</f>
        <v>4.9998963647563262</v>
      </c>
      <c r="L28">
        <f>E28</f>
        <v>373.08687722836112</v>
      </c>
      <c r="M28">
        <f>F28</f>
        <v>1078.0999999999999</v>
      </c>
      <c r="N28">
        <f>G28</f>
        <v>-705.01312277163879</v>
      </c>
    </row>
    <row r="29" spans="1:14" x14ac:dyDescent="0.55000000000000004">
      <c r="A29">
        <v>24</v>
      </c>
      <c r="B29" s="3">
        <v>43751.409722222219</v>
      </c>
      <c r="C29">
        <f t="shared" si="0"/>
        <v>4999.8865592007705</v>
      </c>
      <c r="D29">
        <f t="shared" si="1"/>
        <v>17999591.613122772</v>
      </c>
      <c r="E29">
        <f t="shared" si="2"/>
        <v>408.3868772283613</v>
      </c>
      <c r="F29" s="6">
        <v>1113.4000000000001</v>
      </c>
      <c r="G29" s="7">
        <v>-705.01312277163879</v>
      </c>
      <c r="J29" s="3">
        <f t="shared" si="3"/>
        <v>43751.409722222219</v>
      </c>
      <c r="K29">
        <f>C29/1000</f>
        <v>4.9998865592007702</v>
      </c>
      <c r="L29">
        <f>E29</f>
        <v>408.3868772283613</v>
      </c>
      <c r="M29">
        <f>F29</f>
        <v>1113.4000000000001</v>
      </c>
      <c r="N29">
        <f>G29</f>
        <v>-705.01312277163879</v>
      </c>
    </row>
    <row r="30" spans="1:14" x14ac:dyDescent="0.55000000000000004">
      <c r="A30">
        <v>25</v>
      </c>
      <c r="B30" s="3">
        <v>43751.416666666664</v>
      </c>
      <c r="C30">
        <f t="shared" si="0"/>
        <v>4999.877420311881</v>
      </c>
      <c r="D30">
        <f t="shared" si="1"/>
        <v>17999558.71312277</v>
      </c>
      <c r="E30">
        <f t="shared" si="2"/>
        <v>441.28687722836116</v>
      </c>
      <c r="F30" s="6">
        <v>1146.3</v>
      </c>
      <c r="G30" s="7">
        <v>-705.01312277163879</v>
      </c>
      <c r="J30" s="3">
        <f t="shared" si="3"/>
        <v>43751.416666666664</v>
      </c>
      <c r="K30">
        <f>C30/1000</f>
        <v>4.999877420311881</v>
      </c>
      <c r="L30">
        <f>E30</f>
        <v>441.28687722836116</v>
      </c>
      <c r="M30">
        <f>F30</f>
        <v>1146.3</v>
      </c>
      <c r="N30">
        <f>G30</f>
        <v>-705.01312277163879</v>
      </c>
    </row>
    <row r="31" spans="1:14" x14ac:dyDescent="0.55000000000000004">
      <c r="A31">
        <v>26</v>
      </c>
      <c r="B31" s="3">
        <v>43751.423611111109</v>
      </c>
      <c r="C31">
        <f t="shared" si="0"/>
        <v>4999.8689203118811</v>
      </c>
      <c r="D31">
        <f t="shared" si="1"/>
        <v>17999528.113122772</v>
      </c>
      <c r="E31">
        <f t="shared" si="2"/>
        <v>471.8868772283613</v>
      </c>
      <c r="F31" s="6">
        <v>1176.9000000000001</v>
      </c>
      <c r="G31" s="7">
        <v>-705.01312277163879</v>
      </c>
      <c r="J31" s="3">
        <f t="shared" si="3"/>
        <v>43751.423611111109</v>
      </c>
      <c r="K31">
        <f>C31/1000</f>
        <v>4.9998689203118811</v>
      </c>
      <c r="L31">
        <f>E31</f>
        <v>471.8868772283613</v>
      </c>
      <c r="M31">
        <f>F31</f>
        <v>1176.9000000000001</v>
      </c>
      <c r="N31">
        <f>G31</f>
        <v>-705.01312277163879</v>
      </c>
    </row>
    <row r="32" spans="1:14" x14ac:dyDescent="0.55000000000000004">
      <c r="A32">
        <v>27</v>
      </c>
      <c r="B32" s="3">
        <v>43751.430555555555</v>
      </c>
      <c r="C32">
        <f t="shared" si="0"/>
        <v>4999.8611147563252</v>
      </c>
      <c r="D32">
        <f t="shared" si="1"/>
        <v>17999500.013122771</v>
      </c>
      <c r="E32">
        <f t="shared" si="2"/>
        <v>499.98687722836121</v>
      </c>
      <c r="F32" s="6">
        <v>1205</v>
      </c>
      <c r="G32" s="7">
        <v>-705.01312277163879</v>
      </c>
      <c r="J32" s="3">
        <f t="shared" si="3"/>
        <v>43751.430555555555</v>
      </c>
      <c r="K32">
        <f>C32/1000</f>
        <v>4.9998611147563254</v>
      </c>
      <c r="L32">
        <f>E32</f>
        <v>499.98687722836121</v>
      </c>
      <c r="M32">
        <f>F32</f>
        <v>1205</v>
      </c>
      <c r="N32">
        <f>G32</f>
        <v>-705.01312277163879</v>
      </c>
    </row>
    <row r="33" spans="1:14" x14ac:dyDescent="0.55000000000000004">
      <c r="A33">
        <v>28</v>
      </c>
      <c r="B33" s="3">
        <v>43751.4375</v>
      </c>
      <c r="C33">
        <f t="shared" si="0"/>
        <v>4999.8539758674369</v>
      </c>
      <c r="D33">
        <f t="shared" si="1"/>
        <v>17999474.313122772</v>
      </c>
      <c r="E33">
        <f t="shared" si="2"/>
        <v>525.68687722836125</v>
      </c>
      <c r="F33" s="6">
        <v>1230.7</v>
      </c>
      <c r="G33" s="7">
        <v>-705.01312277163879</v>
      </c>
      <c r="J33" s="3">
        <f t="shared" si="3"/>
        <v>43751.4375</v>
      </c>
      <c r="K33">
        <f>C33/1000</f>
        <v>4.9998539758674365</v>
      </c>
      <c r="L33">
        <f>E33</f>
        <v>525.68687722836125</v>
      </c>
      <c r="M33">
        <f>F33</f>
        <v>1230.7</v>
      </c>
      <c r="N33">
        <f>G33</f>
        <v>-705.01312277163879</v>
      </c>
    </row>
    <row r="34" spans="1:14" x14ac:dyDescent="0.55000000000000004">
      <c r="A34">
        <v>29</v>
      </c>
      <c r="B34" s="3">
        <v>43751.444444444445</v>
      </c>
      <c r="C34">
        <f t="shared" si="0"/>
        <v>4999.8475592007699</v>
      </c>
      <c r="D34">
        <f t="shared" si="1"/>
        <v>17999451.21312277</v>
      </c>
      <c r="E34">
        <f t="shared" si="2"/>
        <v>548.78687722836116</v>
      </c>
      <c r="F34" s="6">
        <v>1253.8</v>
      </c>
      <c r="G34" s="7">
        <v>-705.01312277163879</v>
      </c>
      <c r="J34" s="3">
        <f t="shared" si="3"/>
        <v>43751.444444444445</v>
      </c>
      <c r="K34">
        <f>C34/1000</f>
        <v>4.9998475592007701</v>
      </c>
      <c r="L34">
        <f>E34</f>
        <v>548.78687722836116</v>
      </c>
      <c r="M34">
        <f>F34</f>
        <v>1253.8</v>
      </c>
      <c r="N34">
        <f>G34</f>
        <v>-705.01312277163879</v>
      </c>
    </row>
    <row r="35" spans="1:14" x14ac:dyDescent="0.55000000000000004">
      <c r="A35">
        <v>30</v>
      </c>
      <c r="B35" s="3">
        <v>43751.451388888891</v>
      </c>
      <c r="C35">
        <f t="shared" si="0"/>
        <v>4999.841892534103</v>
      </c>
      <c r="D35">
        <f t="shared" si="1"/>
        <v>17999430.813122772</v>
      </c>
      <c r="E35">
        <f t="shared" si="2"/>
        <v>569.18687722836125</v>
      </c>
      <c r="F35" s="6">
        <v>1274.2</v>
      </c>
      <c r="G35" s="7">
        <v>-705.01312277163879</v>
      </c>
      <c r="J35" s="3">
        <f t="shared" si="3"/>
        <v>43751.451388888891</v>
      </c>
      <c r="K35">
        <f>C35/1000</f>
        <v>4.9998418925341026</v>
      </c>
      <c r="L35">
        <f>E35</f>
        <v>569.18687722836125</v>
      </c>
      <c r="M35">
        <f>F35</f>
        <v>1274.2</v>
      </c>
      <c r="N35">
        <f>G35</f>
        <v>-705.01312277163879</v>
      </c>
    </row>
    <row r="36" spans="1:14" x14ac:dyDescent="0.55000000000000004">
      <c r="A36">
        <v>31</v>
      </c>
      <c r="B36" s="3">
        <v>43751.458333333336</v>
      </c>
      <c r="C36">
        <f t="shared" si="0"/>
        <v>4999.8369203118818</v>
      </c>
      <c r="D36">
        <f t="shared" si="1"/>
        <v>17999412.913122773</v>
      </c>
      <c r="E36">
        <f t="shared" si="2"/>
        <v>587.08687722836112</v>
      </c>
      <c r="F36" s="6">
        <v>1292.0999999999999</v>
      </c>
      <c r="G36" s="7">
        <v>-705.01312277163879</v>
      </c>
      <c r="J36" s="3">
        <f t="shared" si="3"/>
        <v>43751.458333333336</v>
      </c>
      <c r="K36">
        <f>C36/1000</f>
        <v>4.999836920311882</v>
      </c>
      <c r="L36">
        <f>E36</f>
        <v>587.08687722836112</v>
      </c>
      <c r="M36">
        <f>F36</f>
        <v>1292.0999999999999</v>
      </c>
      <c r="N36">
        <f>G36</f>
        <v>-705.01312277163879</v>
      </c>
    </row>
    <row r="37" spans="1:14" x14ac:dyDescent="0.55000000000000004">
      <c r="A37">
        <v>32</v>
      </c>
      <c r="B37" s="3">
        <v>43751.465277777781</v>
      </c>
      <c r="C37">
        <f t="shared" si="0"/>
        <v>4999.8327258674362</v>
      </c>
      <c r="D37">
        <f t="shared" si="1"/>
        <v>17999397.813122772</v>
      </c>
      <c r="E37">
        <f t="shared" si="2"/>
        <v>602.18687722836125</v>
      </c>
      <c r="F37" s="6">
        <v>1307.2</v>
      </c>
      <c r="G37" s="7">
        <v>-705.01312277163879</v>
      </c>
      <c r="J37" s="3">
        <f t="shared" si="3"/>
        <v>43751.465277777781</v>
      </c>
      <c r="K37">
        <f>C37/1000</f>
        <v>4.999832725867436</v>
      </c>
      <c r="L37">
        <f>E37</f>
        <v>602.18687722836125</v>
      </c>
      <c r="M37">
        <f>F37</f>
        <v>1307.2</v>
      </c>
      <c r="N37">
        <f>G37</f>
        <v>-705.01312277163879</v>
      </c>
    </row>
    <row r="38" spans="1:14" x14ac:dyDescent="0.55000000000000004">
      <c r="A38">
        <v>33</v>
      </c>
      <c r="B38" s="3">
        <v>43751.472222222219</v>
      </c>
      <c r="C38">
        <f t="shared" si="0"/>
        <v>4999.8292814229926</v>
      </c>
      <c r="D38">
        <f t="shared" si="1"/>
        <v>17999385.413122773</v>
      </c>
      <c r="E38">
        <f t="shared" si="2"/>
        <v>614.58687722836112</v>
      </c>
      <c r="F38" s="6">
        <v>1319.6</v>
      </c>
      <c r="G38" s="7">
        <v>-705.01312277163879</v>
      </c>
      <c r="J38" s="3">
        <f t="shared" si="3"/>
        <v>43751.472222222219</v>
      </c>
      <c r="K38">
        <f>C38/1000</f>
        <v>4.9998292814229925</v>
      </c>
      <c r="L38">
        <f>E38</f>
        <v>614.58687722836112</v>
      </c>
      <c r="M38">
        <f>F38</f>
        <v>1319.6</v>
      </c>
      <c r="N38">
        <f>G38</f>
        <v>-705.01312277163879</v>
      </c>
    </row>
    <row r="39" spans="1:14" x14ac:dyDescent="0.55000000000000004">
      <c r="A39">
        <v>34</v>
      </c>
      <c r="B39" s="3">
        <v>43751.479166666664</v>
      </c>
      <c r="C39">
        <f t="shared" si="0"/>
        <v>4999.8265869785473</v>
      </c>
      <c r="D39">
        <f t="shared" si="1"/>
        <v>17999375.71312277</v>
      </c>
      <c r="E39">
        <f t="shared" si="2"/>
        <v>624.28687722836116</v>
      </c>
      <c r="F39" s="6">
        <v>1329.3</v>
      </c>
      <c r="G39" s="7">
        <v>-705.01312277163879</v>
      </c>
      <c r="J39" s="3">
        <f t="shared" si="3"/>
        <v>43751.479166666664</v>
      </c>
      <c r="K39">
        <f>C39/1000</f>
        <v>4.9998265869785472</v>
      </c>
      <c r="L39">
        <f>E39</f>
        <v>624.28687722836116</v>
      </c>
      <c r="M39">
        <f>F39</f>
        <v>1329.3</v>
      </c>
      <c r="N39">
        <f>G39</f>
        <v>-705.01312277163879</v>
      </c>
    </row>
    <row r="40" spans="1:14" x14ac:dyDescent="0.55000000000000004">
      <c r="A40">
        <v>35</v>
      </c>
      <c r="B40" s="3">
        <v>43751.486111111109</v>
      </c>
      <c r="C40">
        <f t="shared" si="0"/>
        <v>4999.8246425341031</v>
      </c>
      <c r="D40">
        <f t="shared" si="1"/>
        <v>17999368.71312277</v>
      </c>
      <c r="E40">
        <f t="shared" si="2"/>
        <v>631.28687722836116</v>
      </c>
      <c r="F40" s="6">
        <v>1336.3</v>
      </c>
      <c r="G40" s="7">
        <v>-705.01312277163879</v>
      </c>
      <c r="J40" s="3">
        <f t="shared" si="3"/>
        <v>43751.486111111109</v>
      </c>
      <c r="K40">
        <f>C40/1000</f>
        <v>4.9998246425341026</v>
      </c>
      <c r="L40">
        <f>E40</f>
        <v>631.28687722836116</v>
      </c>
      <c r="M40">
        <f>F40</f>
        <v>1336.3</v>
      </c>
      <c r="N40">
        <f>G40</f>
        <v>-705.01312277163879</v>
      </c>
    </row>
    <row r="41" spans="1:14" x14ac:dyDescent="0.55000000000000004">
      <c r="A41">
        <v>36</v>
      </c>
      <c r="B41" s="3">
        <v>43751.493055555555</v>
      </c>
      <c r="C41">
        <f t="shared" si="0"/>
        <v>4999.8234758674362</v>
      </c>
      <c r="D41">
        <f t="shared" si="1"/>
        <v>17999364.513122771</v>
      </c>
      <c r="E41">
        <f t="shared" si="2"/>
        <v>635.48687722836121</v>
      </c>
      <c r="F41" s="6">
        <v>1340.5</v>
      </c>
      <c r="G41" s="7">
        <v>-705.01312277163879</v>
      </c>
      <c r="J41" s="3">
        <f t="shared" si="3"/>
        <v>43751.493055555555</v>
      </c>
      <c r="K41">
        <f>C41/1000</f>
        <v>4.9998234758674363</v>
      </c>
      <c r="L41">
        <f>E41</f>
        <v>635.48687722836121</v>
      </c>
      <c r="M41">
        <f>F41</f>
        <v>1340.5</v>
      </c>
      <c r="N41">
        <f>G41</f>
        <v>-705.01312277163879</v>
      </c>
    </row>
    <row r="42" spans="1:14" x14ac:dyDescent="0.55000000000000004">
      <c r="A42">
        <v>37</v>
      </c>
      <c r="B42" s="3">
        <v>43751.5</v>
      </c>
      <c r="C42">
        <f t="shared" si="0"/>
        <v>4999.8231147563247</v>
      </c>
      <c r="D42">
        <f t="shared" si="1"/>
        <v>17999363.21312277</v>
      </c>
      <c r="E42">
        <f t="shared" si="2"/>
        <v>636.78687722836116</v>
      </c>
      <c r="F42" s="6">
        <v>1341.8</v>
      </c>
      <c r="G42" s="7">
        <v>-705.01312277163879</v>
      </c>
      <c r="J42" s="3">
        <f t="shared" si="3"/>
        <v>43751.5</v>
      </c>
      <c r="K42">
        <f>C42/1000</f>
        <v>4.9998231147563246</v>
      </c>
      <c r="L42">
        <f>E42</f>
        <v>636.78687722836116</v>
      </c>
      <c r="M42">
        <f>F42</f>
        <v>1341.8</v>
      </c>
      <c r="N42">
        <f>G42</f>
        <v>-705.01312277163879</v>
      </c>
    </row>
    <row r="43" spans="1:14" x14ac:dyDescent="0.55000000000000004">
      <c r="A43">
        <v>38</v>
      </c>
      <c r="B43" s="3">
        <v>43751.506944444445</v>
      </c>
      <c r="C43">
        <f t="shared" si="0"/>
        <v>4999.7968787611399</v>
      </c>
      <c r="D43">
        <f t="shared" si="1"/>
        <v>17999268.763540104</v>
      </c>
      <c r="E43">
        <f t="shared" si="2"/>
        <v>731.23645989417594</v>
      </c>
      <c r="F43" s="6">
        <v>1340.5</v>
      </c>
      <c r="G43" s="7">
        <v>-609.26354010582406</v>
      </c>
      <c r="J43" s="3">
        <f t="shared" si="3"/>
        <v>43751.506944444445</v>
      </c>
      <c r="K43">
        <f>C43/1000</f>
        <v>4.9997968787611402</v>
      </c>
      <c r="L43">
        <f>E43</f>
        <v>731.23645989417594</v>
      </c>
      <c r="M43">
        <f>F43</f>
        <v>1340.5</v>
      </c>
      <c r="N43">
        <f>G43</f>
        <v>-609.26354010582406</v>
      </c>
    </row>
    <row r="44" spans="1:14" x14ac:dyDescent="0.55000000000000004">
      <c r="A44">
        <v>39</v>
      </c>
      <c r="B44" s="3">
        <v>43751.513888888891</v>
      </c>
      <c r="C44">
        <f t="shared" si="0"/>
        <v>4999.7980454278077</v>
      </c>
      <c r="D44">
        <f t="shared" si="1"/>
        <v>17999272.963540107</v>
      </c>
      <c r="E44">
        <f t="shared" si="2"/>
        <v>727.03645989417589</v>
      </c>
      <c r="F44" s="6">
        <v>1336.3</v>
      </c>
      <c r="G44" s="7">
        <v>-609.26354010582406</v>
      </c>
      <c r="J44" s="3">
        <f t="shared" si="3"/>
        <v>43751.513888888891</v>
      </c>
      <c r="K44">
        <f>C44/1000</f>
        <v>4.9997980454278075</v>
      </c>
      <c r="L44">
        <f>E44</f>
        <v>727.03645989417589</v>
      </c>
      <c r="M44">
        <f>F44</f>
        <v>1336.3</v>
      </c>
      <c r="N44">
        <f>G44</f>
        <v>-609.26354010582406</v>
      </c>
    </row>
    <row r="45" spans="1:14" x14ac:dyDescent="0.55000000000000004">
      <c r="A45">
        <v>40</v>
      </c>
      <c r="B45" s="3">
        <v>43751.520833333336</v>
      </c>
      <c r="C45">
        <f t="shared" si="0"/>
        <v>4999.7999898722519</v>
      </c>
      <c r="D45">
        <f t="shared" si="1"/>
        <v>17999279.963540107</v>
      </c>
      <c r="E45">
        <f t="shared" si="2"/>
        <v>720.03645989417589</v>
      </c>
      <c r="F45" s="6">
        <v>1329.3</v>
      </c>
      <c r="G45" s="7">
        <v>-609.26354010582406</v>
      </c>
      <c r="J45" s="3">
        <f t="shared" si="3"/>
        <v>43751.520833333336</v>
      </c>
      <c r="K45">
        <f>C45/1000</f>
        <v>4.999799989872252</v>
      </c>
      <c r="L45">
        <f>E45</f>
        <v>720.03645989417589</v>
      </c>
      <c r="M45">
        <f>F45</f>
        <v>1329.3</v>
      </c>
      <c r="N45">
        <f>G45</f>
        <v>-609.26354010582406</v>
      </c>
    </row>
    <row r="46" spans="1:14" x14ac:dyDescent="0.55000000000000004">
      <c r="A46">
        <v>41</v>
      </c>
      <c r="B46" s="3">
        <v>43751.527777777781</v>
      </c>
      <c r="C46">
        <f t="shared" si="0"/>
        <v>4999.8026565389182</v>
      </c>
      <c r="D46">
        <f t="shared" si="1"/>
        <v>17999289.563540105</v>
      </c>
      <c r="E46">
        <f t="shared" si="2"/>
        <v>710.43645989417598</v>
      </c>
      <c r="F46" s="6">
        <v>1319.7</v>
      </c>
      <c r="G46" s="7">
        <v>-609.26354010582406</v>
      </c>
      <c r="J46" s="3">
        <f t="shared" si="3"/>
        <v>43751.527777777781</v>
      </c>
      <c r="K46">
        <f>C46/1000</f>
        <v>4.9998026565389182</v>
      </c>
      <c r="L46">
        <f>E46</f>
        <v>710.43645989417598</v>
      </c>
      <c r="M46">
        <f>F46</f>
        <v>1319.7</v>
      </c>
      <c r="N46">
        <f>G46</f>
        <v>-609.26354010582406</v>
      </c>
    </row>
    <row r="47" spans="1:14" x14ac:dyDescent="0.55000000000000004">
      <c r="A47">
        <v>42</v>
      </c>
      <c r="B47" s="3">
        <v>43751.534722222219</v>
      </c>
      <c r="C47">
        <f t="shared" si="0"/>
        <v>4999.8061287611399</v>
      </c>
      <c r="D47">
        <f t="shared" si="1"/>
        <v>17999302.063540105</v>
      </c>
      <c r="E47">
        <f t="shared" si="2"/>
        <v>697.93645989417598</v>
      </c>
      <c r="F47" s="6">
        <v>1307.2</v>
      </c>
      <c r="G47" s="7">
        <v>-609.26354010582406</v>
      </c>
      <c r="J47" s="3">
        <f t="shared" si="3"/>
        <v>43751.534722222219</v>
      </c>
      <c r="K47">
        <f>C47/1000</f>
        <v>4.9998061287611399</v>
      </c>
      <c r="L47">
        <f>E47</f>
        <v>697.93645989417598</v>
      </c>
      <c r="M47">
        <f>F47</f>
        <v>1307.2</v>
      </c>
      <c r="N47">
        <f>G47</f>
        <v>-609.26354010582406</v>
      </c>
    </row>
    <row r="48" spans="1:14" x14ac:dyDescent="0.55000000000000004">
      <c r="A48">
        <v>43</v>
      </c>
      <c r="B48" s="3">
        <v>43751.541666666664</v>
      </c>
      <c r="C48">
        <f t="shared" si="0"/>
        <v>4999.8103232055855</v>
      </c>
      <c r="D48">
        <f t="shared" si="1"/>
        <v>17999317.163540106</v>
      </c>
      <c r="E48">
        <f t="shared" si="2"/>
        <v>682.83645989417585</v>
      </c>
      <c r="F48" s="6">
        <v>1292.0999999999999</v>
      </c>
      <c r="G48" s="7">
        <v>-609.26354010582406</v>
      </c>
      <c r="J48" s="3">
        <f t="shared" si="3"/>
        <v>43751.541666666664</v>
      </c>
      <c r="K48">
        <f>C48/1000</f>
        <v>4.9998103232055859</v>
      </c>
      <c r="L48">
        <f>E48</f>
        <v>682.83645989417585</v>
      </c>
      <c r="M48">
        <f>F48</f>
        <v>1292.0999999999999</v>
      </c>
      <c r="N48">
        <f>G48</f>
        <v>-609.26354010582406</v>
      </c>
    </row>
    <row r="49" spans="1:14" x14ac:dyDescent="0.55000000000000004">
      <c r="A49">
        <v>44</v>
      </c>
      <c r="B49" s="3">
        <v>43751.548611111109</v>
      </c>
      <c r="C49">
        <f t="shared" si="0"/>
        <v>4999.8152676500295</v>
      </c>
      <c r="D49">
        <f t="shared" si="1"/>
        <v>17999334.963540107</v>
      </c>
      <c r="E49">
        <f t="shared" si="2"/>
        <v>665.03645989417589</v>
      </c>
      <c r="F49" s="6">
        <v>1274.3</v>
      </c>
      <c r="G49" s="7">
        <v>-609.26354010582406</v>
      </c>
      <c r="J49" s="3">
        <f t="shared" si="3"/>
        <v>43751.548611111109</v>
      </c>
      <c r="K49">
        <f>C49/1000</f>
        <v>4.9998152676500291</v>
      </c>
      <c r="L49">
        <f>E49</f>
        <v>665.03645989417589</v>
      </c>
      <c r="M49">
        <f>F49</f>
        <v>1274.3</v>
      </c>
      <c r="N49">
        <f>G49</f>
        <v>-609.26354010582406</v>
      </c>
    </row>
    <row r="50" spans="1:14" x14ac:dyDescent="0.55000000000000004">
      <c r="A50">
        <v>45</v>
      </c>
      <c r="B50" s="3">
        <v>43751.555555555555</v>
      </c>
      <c r="C50">
        <f t="shared" si="0"/>
        <v>4999.8209620944745</v>
      </c>
      <c r="D50">
        <f t="shared" si="1"/>
        <v>17999355.463540107</v>
      </c>
      <c r="E50">
        <f t="shared" si="2"/>
        <v>644.53645989417589</v>
      </c>
      <c r="F50" s="6">
        <v>1253.8</v>
      </c>
      <c r="G50" s="7">
        <v>-609.26354010582406</v>
      </c>
      <c r="J50" s="3">
        <f t="shared" si="3"/>
        <v>43751.555555555555</v>
      </c>
      <c r="K50">
        <f>C50/1000</f>
        <v>4.999820962094474</v>
      </c>
      <c r="L50">
        <f>E50</f>
        <v>644.53645989417589</v>
      </c>
      <c r="M50">
        <f>F50</f>
        <v>1253.8</v>
      </c>
      <c r="N50">
        <f>G50</f>
        <v>-609.26354010582406</v>
      </c>
    </row>
    <row r="51" spans="1:14" x14ac:dyDescent="0.55000000000000004">
      <c r="A51">
        <v>46</v>
      </c>
      <c r="B51" s="3">
        <v>43751.5625</v>
      </c>
      <c r="C51">
        <f t="shared" si="0"/>
        <v>4999.8273787611406</v>
      </c>
      <c r="D51">
        <f t="shared" si="1"/>
        <v>17999378.563540105</v>
      </c>
      <c r="E51">
        <f t="shared" si="2"/>
        <v>621.43645989417598</v>
      </c>
      <c r="F51" s="6">
        <v>1230.7</v>
      </c>
      <c r="G51" s="7">
        <v>-609.26354010582406</v>
      </c>
      <c r="J51" s="3">
        <f t="shared" si="3"/>
        <v>43751.5625</v>
      </c>
      <c r="K51">
        <f>C51/1000</f>
        <v>4.9998273787611405</v>
      </c>
      <c r="L51">
        <f>E51</f>
        <v>621.43645989417598</v>
      </c>
      <c r="M51">
        <f>F51</f>
        <v>1230.7</v>
      </c>
      <c r="N51">
        <f>G51</f>
        <v>-609.26354010582406</v>
      </c>
    </row>
    <row r="52" spans="1:14" x14ac:dyDescent="0.55000000000000004">
      <c r="A52">
        <v>47</v>
      </c>
      <c r="B52" s="3">
        <v>43751.569444444445</v>
      </c>
      <c r="C52">
        <f t="shared" si="0"/>
        <v>4999.8344898722517</v>
      </c>
      <c r="D52">
        <f t="shared" si="1"/>
        <v>17999404.163540106</v>
      </c>
      <c r="E52">
        <f t="shared" si="2"/>
        <v>595.83645989417585</v>
      </c>
      <c r="F52" s="6">
        <v>1205.0999999999999</v>
      </c>
      <c r="G52" s="7">
        <v>-609.26354010582406</v>
      </c>
      <c r="J52" s="3">
        <f t="shared" si="3"/>
        <v>43751.569444444445</v>
      </c>
      <c r="K52">
        <f>C52/1000</f>
        <v>4.999834489872252</v>
      </c>
      <c r="L52">
        <f>E52</f>
        <v>595.83645989417585</v>
      </c>
      <c r="M52">
        <f>F52</f>
        <v>1205.0999999999999</v>
      </c>
      <c r="N52">
        <f>G52</f>
        <v>-609.26354010582406</v>
      </c>
    </row>
    <row r="53" spans="1:14" x14ac:dyDescent="0.55000000000000004">
      <c r="A53">
        <v>48</v>
      </c>
      <c r="B53" s="3">
        <v>43751.576388888891</v>
      </c>
      <c r="C53">
        <f t="shared" si="0"/>
        <v>4999.8423232055848</v>
      </c>
      <c r="D53">
        <f t="shared" si="1"/>
        <v>17999432.363540106</v>
      </c>
      <c r="E53">
        <f t="shared" si="2"/>
        <v>567.63645989417603</v>
      </c>
      <c r="F53" s="6">
        <v>1176.9000000000001</v>
      </c>
      <c r="G53" s="7">
        <v>-609.26354010582406</v>
      </c>
      <c r="J53" s="3">
        <f t="shared" si="3"/>
        <v>43751.576388888891</v>
      </c>
      <c r="K53">
        <f>C53/1000</f>
        <v>4.9998423232055851</v>
      </c>
      <c r="L53">
        <f>E53</f>
        <v>567.63645989417603</v>
      </c>
      <c r="M53">
        <f>F53</f>
        <v>1176.9000000000001</v>
      </c>
      <c r="N53">
        <f>G53</f>
        <v>-609.26354010582406</v>
      </c>
    </row>
    <row r="54" spans="1:14" x14ac:dyDescent="0.55000000000000004">
      <c r="A54">
        <v>49</v>
      </c>
      <c r="B54" s="3">
        <v>43751.583333333336</v>
      </c>
      <c r="C54">
        <f t="shared" si="0"/>
        <v>4999.8507954278075</v>
      </c>
      <c r="D54">
        <f t="shared" si="1"/>
        <v>17999462.863540106</v>
      </c>
      <c r="E54">
        <f t="shared" si="2"/>
        <v>537.13645989417603</v>
      </c>
      <c r="F54" s="6">
        <v>1146.4000000000001</v>
      </c>
      <c r="G54" s="7">
        <v>-609.26354010582406</v>
      </c>
      <c r="J54" s="3">
        <f t="shared" si="3"/>
        <v>43751.583333333336</v>
      </c>
      <c r="K54">
        <f>C54/1000</f>
        <v>4.9998507954278075</v>
      </c>
      <c r="L54">
        <f>E54</f>
        <v>537.13645989417603</v>
      </c>
      <c r="M54">
        <f>F54</f>
        <v>1146.4000000000001</v>
      </c>
      <c r="N54">
        <f>G54</f>
        <v>-609.26354010582406</v>
      </c>
    </row>
    <row r="55" spans="1:14" x14ac:dyDescent="0.55000000000000004">
      <c r="A55">
        <v>50</v>
      </c>
      <c r="B55" s="3">
        <v>43751.590277777781</v>
      </c>
      <c r="C55">
        <f t="shared" si="0"/>
        <v>4999.8599620944733</v>
      </c>
      <c r="D55">
        <f t="shared" si="1"/>
        <v>17999495.863540106</v>
      </c>
      <c r="E55">
        <f t="shared" si="2"/>
        <v>504.13645989417603</v>
      </c>
      <c r="F55" s="6">
        <v>1113.4000000000001</v>
      </c>
      <c r="G55" s="7">
        <v>-609.26354010582406</v>
      </c>
      <c r="J55" s="3">
        <f t="shared" si="3"/>
        <v>43751.590277777781</v>
      </c>
      <c r="K55">
        <f>C55/1000</f>
        <v>4.9998599620944733</v>
      </c>
      <c r="L55">
        <f>E55</f>
        <v>504.13645989417603</v>
      </c>
      <c r="M55">
        <f>F55</f>
        <v>1113.4000000000001</v>
      </c>
      <c r="N55">
        <f>G55</f>
        <v>-609.26354010582406</v>
      </c>
    </row>
    <row r="56" spans="1:14" x14ac:dyDescent="0.55000000000000004">
      <c r="A56">
        <v>51</v>
      </c>
      <c r="B56" s="3">
        <v>43751.597222222219</v>
      </c>
      <c r="C56">
        <f t="shared" si="0"/>
        <v>4999.8697676500296</v>
      </c>
      <c r="D56">
        <f t="shared" si="1"/>
        <v>17999531.163540106</v>
      </c>
      <c r="E56">
        <f t="shared" si="2"/>
        <v>468.83645989417585</v>
      </c>
      <c r="F56" s="6">
        <v>1078.0999999999999</v>
      </c>
      <c r="G56" s="7">
        <v>-609.26354010582406</v>
      </c>
      <c r="J56" s="3">
        <f t="shared" si="3"/>
        <v>43751.597222222219</v>
      </c>
      <c r="K56">
        <f>C56/1000</f>
        <v>4.9998697676500292</v>
      </c>
      <c r="L56">
        <f>E56</f>
        <v>468.83645989417585</v>
      </c>
      <c r="M56">
        <f>F56</f>
        <v>1078.0999999999999</v>
      </c>
      <c r="N56">
        <f>G56</f>
        <v>-609.26354010582406</v>
      </c>
    </row>
    <row r="57" spans="1:14" x14ac:dyDescent="0.55000000000000004">
      <c r="A57">
        <v>52</v>
      </c>
      <c r="B57" s="3">
        <v>43751.604166666664</v>
      </c>
      <c r="C57">
        <f t="shared" si="0"/>
        <v>4999.8801843166966</v>
      </c>
      <c r="D57">
        <f t="shared" si="1"/>
        <v>17999568.663540106</v>
      </c>
      <c r="E57">
        <f t="shared" si="2"/>
        <v>431.33645989417585</v>
      </c>
      <c r="F57" s="6">
        <v>1040.5999999999999</v>
      </c>
      <c r="G57" s="7">
        <v>-609.26354010582406</v>
      </c>
      <c r="J57" s="3">
        <f t="shared" si="3"/>
        <v>43751.604166666664</v>
      </c>
      <c r="K57">
        <f>C57/1000</f>
        <v>4.9998801843166962</v>
      </c>
      <c r="L57">
        <f>E57</f>
        <v>431.33645989417585</v>
      </c>
      <c r="M57">
        <f>F57</f>
        <v>1040.5999999999999</v>
      </c>
      <c r="N57">
        <f>G57</f>
        <v>-609.26354010582406</v>
      </c>
    </row>
    <row r="58" spans="1:14" x14ac:dyDescent="0.55000000000000004">
      <c r="A58">
        <v>53</v>
      </c>
      <c r="B58" s="3">
        <v>43751.611111111109</v>
      </c>
      <c r="C58">
        <f t="shared" si="0"/>
        <v>4999.8912120944733</v>
      </c>
      <c r="D58">
        <f t="shared" si="1"/>
        <v>17999608.363540106</v>
      </c>
      <c r="E58">
        <f t="shared" si="2"/>
        <v>391.63645989417591</v>
      </c>
      <c r="F58" s="6">
        <v>1000.9</v>
      </c>
      <c r="G58" s="7">
        <v>-609.26354010582406</v>
      </c>
      <c r="J58" s="3">
        <f t="shared" si="3"/>
        <v>43751.611111111109</v>
      </c>
      <c r="K58">
        <f>C58/1000</f>
        <v>4.9998912120944734</v>
      </c>
      <c r="L58">
        <f>E58</f>
        <v>391.63645989417591</v>
      </c>
      <c r="M58">
        <f>F58</f>
        <v>1000.9</v>
      </c>
      <c r="N58">
        <f>G58</f>
        <v>-609.26354010582406</v>
      </c>
    </row>
    <row r="59" spans="1:14" x14ac:dyDescent="0.55000000000000004">
      <c r="A59">
        <v>54</v>
      </c>
      <c r="B59" s="3">
        <v>43751.618055555555</v>
      </c>
      <c r="C59">
        <f t="shared" si="0"/>
        <v>4999.9028232055853</v>
      </c>
      <c r="D59">
        <f t="shared" si="1"/>
        <v>17999650.163540106</v>
      </c>
      <c r="E59">
        <f t="shared" si="2"/>
        <v>349.83645989417596</v>
      </c>
      <c r="F59" s="6">
        <v>959.1</v>
      </c>
      <c r="G59" s="7">
        <v>-609.26354010582406</v>
      </c>
      <c r="J59" s="3">
        <f t="shared" si="3"/>
        <v>43751.618055555555</v>
      </c>
      <c r="K59">
        <f>C59/1000</f>
        <v>4.9999028232055851</v>
      </c>
      <c r="L59">
        <f>E59</f>
        <v>349.83645989417596</v>
      </c>
      <c r="M59">
        <f>F59</f>
        <v>959.1</v>
      </c>
      <c r="N59">
        <f>G59</f>
        <v>-609.26354010582406</v>
      </c>
    </row>
    <row r="60" spans="1:14" x14ac:dyDescent="0.55000000000000004">
      <c r="A60">
        <v>55</v>
      </c>
      <c r="B60" s="3">
        <v>43751.625</v>
      </c>
      <c r="C60">
        <f t="shared" si="0"/>
        <v>4999.9149620944736</v>
      </c>
      <c r="D60">
        <f t="shared" si="1"/>
        <v>17999693.863540106</v>
      </c>
      <c r="E60">
        <f t="shared" si="2"/>
        <v>306.13645989417591</v>
      </c>
      <c r="F60" s="6">
        <v>915.4</v>
      </c>
      <c r="G60" s="7">
        <v>-609.26354010582406</v>
      </c>
      <c r="J60" s="3">
        <f t="shared" si="3"/>
        <v>43751.625</v>
      </c>
      <c r="K60">
        <f>C60/1000</f>
        <v>4.9999149620944738</v>
      </c>
      <c r="L60">
        <f>E60</f>
        <v>306.13645989417591</v>
      </c>
      <c r="M60">
        <f>F60</f>
        <v>915.4</v>
      </c>
      <c r="N60">
        <f>G60</f>
        <v>-609.26354010582406</v>
      </c>
    </row>
    <row r="61" spans="1:14" x14ac:dyDescent="0.55000000000000004">
      <c r="A61">
        <v>56</v>
      </c>
      <c r="B61" s="3">
        <v>43751.631944444445</v>
      </c>
      <c r="C61">
        <f t="shared" si="0"/>
        <v>4999.927628761141</v>
      </c>
      <c r="D61">
        <f t="shared" si="1"/>
        <v>17999739.463540107</v>
      </c>
      <c r="E61">
        <f t="shared" si="2"/>
        <v>260.53645989417589</v>
      </c>
      <c r="F61" s="6">
        <v>869.8</v>
      </c>
      <c r="G61" s="7">
        <v>-609.26354010582406</v>
      </c>
      <c r="J61" s="3">
        <f t="shared" si="3"/>
        <v>43751.631944444445</v>
      </c>
      <c r="K61">
        <f>C61/1000</f>
        <v>4.9999276287611414</v>
      </c>
      <c r="L61">
        <f>E61</f>
        <v>260.53645989417589</v>
      </c>
      <c r="M61">
        <f>F61</f>
        <v>869.8</v>
      </c>
      <c r="N61">
        <f>G61</f>
        <v>-609.26354010582406</v>
      </c>
    </row>
    <row r="62" spans="1:14" x14ac:dyDescent="0.55000000000000004">
      <c r="A62">
        <v>57</v>
      </c>
      <c r="B62" s="3">
        <v>43751.638888888891</v>
      </c>
      <c r="C62">
        <f t="shared" si="0"/>
        <v>4999.9407954278067</v>
      </c>
      <c r="D62">
        <f t="shared" si="1"/>
        <v>17999786.863540106</v>
      </c>
      <c r="E62">
        <f t="shared" si="2"/>
        <v>213.13645989417591</v>
      </c>
      <c r="F62" s="6">
        <v>822.4</v>
      </c>
      <c r="G62" s="7">
        <v>-609.26354010582406</v>
      </c>
      <c r="J62" s="3">
        <f t="shared" si="3"/>
        <v>43751.638888888891</v>
      </c>
      <c r="K62">
        <f>C62/1000</f>
        <v>4.9999407954278068</v>
      </c>
      <c r="L62">
        <f>E62</f>
        <v>213.13645989417591</v>
      </c>
      <c r="M62">
        <f>F62</f>
        <v>822.4</v>
      </c>
      <c r="N62">
        <f>G62</f>
        <v>-609.26354010582406</v>
      </c>
    </row>
    <row r="63" spans="1:14" x14ac:dyDescent="0.55000000000000004">
      <c r="A63">
        <v>58</v>
      </c>
      <c r="B63" s="3">
        <v>43751.645833333336</v>
      </c>
      <c r="C63">
        <f t="shared" si="0"/>
        <v>4999.9544065389182</v>
      </c>
      <c r="D63">
        <f t="shared" si="1"/>
        <v>17999835.863540106</v>
      </c>
      <c r="E63">
        <f t="shared" si="2"/>
        <v>164.13645989417591</v>
      </c>
      <c r="F63" s="6">
        <v>773.4</v>
      </c>
      <c r="G63" s="7">
        <v>-609.26354010582406</v>
      </c>
      <c r="J63" s="3">
        <f t="shared" si="3"/>
        <v>43751.645833333336</v>
      </c>
      <c r="K63">
        <f>C63/1000</f>
        <v>4.9999544065389179</v>
      </c>
      <c r="L63">
        <f>E63</f>
        <v>164.13645989417591</v>
      </c>
      <c r="M63">
        <f>F63</f>
        <v>773.4</v>
      </c>
      <c r="N63">
        <f>G63</f>
        <v>-609.26354010582406</v>
      </c>
    </row>
    <row r="64" spans="1:14" x14ac:dyDescent="0.55000000000000004">
      <c r="A64">
        <v>59</v>
      </c>
      <c r="B64" s="3">
        <v>43751.652777777781</v>
      </c>
      <c r="C64">
        <f t="shared" si="0"/>
        <v>4999.9684620944745</v>
      </c>
      <c r="D64">
        <f t="shared" si="1"/>
        <v>17999886.463540107</v>
      </c>
      <c r="E64">
        <f t="shared" si="2"/>
        <v>113.53645989417589</v>
      </c>
      <c r="F64" s="6">
        <v>722.8</v>
      </c>
      <c r="G64" s="7">
        <v>-609.26354010582406</v>
      </c>
      <c r="J64" s="3">
        <f t="shared" si="3"/>
        <v>43751.652777777781</v>
      </c>
      <c r="K64">
        <f>C64/1000</f>
        <v>4.9999684620944747</v>
      </c>
      <c r="L64">
        <f>E64</f>
        <v>113.53645989417589</v>
      </c>
      <c r="M64">
        <f>F64</f>
        <v>722.8</v>
      </c>
      <c r="N64">
        <f>G64</f>
        <v>-609.26354010582406</v>
      </c>
    </row>
    <row r="65" spans="1:14" x14ac:dyDescent="0.55000000000000004">
      <c r="A65">
        <v>60</v>
      </c>
      <c r="B65" s="3">
        <v>43751.659722222219</v>
      </c>
      <c r="C65">
        <f t="shared" si="0"/>
        <v>4999.9829065389185</v>
      </c>
      <c r="D65">
        <f t="shared" si="1"/>
        <v>17999938.463540107</v>
      </c>
      <c r="E65">
        <f t="shared" si="2"/>
        <v>61.536459894175891</v>
      </c>
      <c r="F65" s="6">
        <v>670.8</v>
      </c>
      <c r="G65" s="7">
        <v>-609.26354010582406</v>
      </c>
      <c r="J65" s="3">
        <f t="shared" si="3"/>
        <v>43751.659722222219</v>
      </c>
      <c r="K65">
        <f>C65/1000</f>
        <v>4.9999829065389187</v>
      </c>
      <c r="L65">
        <f>E65</f>
        <v>61.536459894175891</v>
      </c>
      <c r="M65">
        <f>F65</f>
        <v>670.8</v>
      </c>
      <c r="N65">
        <f>G65</f>
        <v>-609.26354010582406</v>
      </c>
    </row>
    <row r="66" spans="1:14" x14ac:dyDescent="0.55000000000000004">
      <c r="A66">
        <v>61</v>
      </c>
      <c r="B66" s="3">
        <v>43751.666666666664</v>
      </c>
      <c r="C66">
        <f t="shared" si="0"/>
        <v>4999.9977120944732</v>
      </c>
      <c r="D66">
        <f t="shared" si="1"/>
        <v>17999991.763540104</v>
      </c>
      <c r="E66">
        <f t="shared" si="2"/>
        <v>8.2364598941759368</v>
      </c>
      <c r="F66" s="6">
        <v>617.5</v>
      </c>
      <c r="G66" s="7">
        <v>-609.26354010582406</v>
      </c>
      <c r="J66" s="3">
        <f t="shared" si="3"/>
        <v>43751.666666666664</v>
      </c>
      <c r="K66">
        <f>C66/1000</f>
        <v>4.9999977120944727</v>
      </c>
      <c r="L66">
        <f>E66</f>
        <v>8.2364598941759368</v>
      </c>
      <c r="M66">
        <f>F66</f>
        <v>617.5</v>
      </c>
      <c r="N66">
        <f>G66</f>
        <v>-609.26354010582406</v>
      </c>
    </row>
    <row r="67" spans="1:14" x14ac:dyDescent="0.55000000000000004">
      <c r="A67">
        <v>62</v>
      </c>
      <c r="B67" s="3">
        <v>43751.673611111109</v>
      </c>
      <c r="C67">
        <f t="shared" si="0"/>
        <v>5000.0127954278069</v>
      </c>
      <c r="D67">
        <f t="shared" si="1"/>
        <v>18000046.063540105</v>
      </c>
      <c r="E67">
        <f t="shared" si="2"/>
        <v>-46.063540105824018</v>
      </c>
      <c r="F67" s="6">
        <v>563.20000000000005</v>
      </c>
      <c r="G67" s="7">
        <v>-609.26354010582406</v>
      </c>
      <c r="J67" s="3">
        <f t="shared" si="3"/>
        <v>43751.673611111109</v>
      </c>
      <c r="K67">
        <f>C67/1000</f>
        <v>5.0000127954278071</v>
      </c>
      <c r="L67">
        <f>E67</f>
        <v>-46.063540105824018</v>
      </c>
      <c r="M67">
        <f>F67</f>
        <v>563.20000000000005</v>
      </c>
      <c r="N67">
        <f>G67</f>
        <v>-609.26354010582406</v>
      </c>
    </row>
    <row r="68" spans="1:14" x14ac:dyDescent="0.55000000000000004">
      <c r="A68">
        <v>63</v>
      </c>
      <c r="B68" s="3">
        <v>43751.680555555555</v>
      </c>
      <c r="C68">
        <f t="shared" si="0"/>
        <v>5000.0281565389178</v>
      </c>
      <c r="D68">
        <f t="shared" si="1"/>
        <v>18000101.363540106</v>
      </c>
      <c r="E68">
        <f t="shared" si="2"/>
        <v>-101.36354010582409</v>
      </c>
      <c r="F68" s="6">
        <v>507.9</v>
      </c>
      <c r="G68" s="7">
        <v>-609.26354010582406</v>
      </c>
      <c r="J68" s="3">
        <f t="shared" si="3"/>
        <v>43751.680555555555</v>
      </c>
      <c r="K68">
        <f>C68/1000</f>
        <v>5.0000281565389182</v>
      </c>
      <c r="L68">
        <f>E68</f>
        <v>-101.36354010582409</v>
      </c>
      <c r="M68">
        <f>F68</f>
        <v>507.9</v>
      </c>
      <c r="N68">
        <f>G68</f>
        <v>-609.26354010582406</v>
      </c>
    </row>
    <row r="69" spans="1:14" x14ac:dyDescent="0.55000000000000004">
      <c r="A69">
        <v>64</v>
      </c>
      <c r="B69" s="3">
        <v>43751.6875</v>
      </c>
      <c r="C69">
        <f t="shared" si="0"/>
        <v>5000.0436843166954</v>
      </c>
      <c r="D69">
        <f t="shared" si="1"/>
        <v>18000157.263540104</v>
      </c>
      <c r="E69">
        <f t="shared" si="2"/>
        <v>-157.26354010582406</v>
      </c>
      <c r="F69" s="6">
        <v>452</v>
      </c>
      <c r="G69" s="7">
        <v>-609.26354010582406</v>
      </c>
      <c r="J69" s="3">
        <f t="shared" si="3"/>
        <v>43751.6875</v>
      </c>
      <c r="K69">
        <f>C69/1000</f>
        <v>5.0000436843166955</v>
      </c>
      <c r="L69">
        <f>E69</f>
        <v>-157.26354010582406</v>
      </c>
      <c r="M69">
        <f>F69</f>
        <v>452</v>
      </c>
      <c r="N69">
        <f>G69</f>
        <v>-609.26354010582406</v>
      </c>
    </row>
    <row r="70" spans="1:14" x14ac:dyDescent="0.55000000000000004">
      <c r="A70">
        <v>65</v>
      </c>
      <c r="B70" s="3">
        <v>43751.694444444445</v>
      </c>
      <c r="C70">
        <f t="shared" si="0"/>
        <v>5000.0593787611397</v>
      </c>
      <c r="D70">
        <f t="shared" si="1"/>
        <v>18000213.763540104</v>
      </c>
      <c r="E70">
        <f t="shared" si="2"/>
        <v>-213.76354010582406</v>
      </c>
      <c r="F70" s="6">
        <v>395.5</v>
      </c>
      <c r="G70" s="7">
        <v>-609.26354010582406</v>
      </c>
      <c r="J70" s="3">
        <f t="shared" si="3"/>
        <v>43751.694444444445</v>
      </c>
      <c r="K70">
        <f>C70/1000</f>
        <v>5.00005937876114</v>
      </c>
      <c r="L70">
        <f>E70</f>
        <v>-213.76354010582406</v>
      </c>
      <c r="M70">
        <f>F70</f>
        <v>395.5</v>
      </c>
      <c r="N70">
        <f>G70</f>
        <v>-609.26354010582406</v>
      </c>
    </row>
    <row r="71" spans="1:14" x14ac:dyDescent="0.55000000000000004">
      <c r="A71">
        <v>66</v>
      </c>
      <c r="B71" s="3">
        <v>43751.701388888891</v>
      </c>
      <c r="C71">
        <f t="shared" ref="C71:C78" si="4">D71/3600</f>
        <v>5000.0750732055849</v>
      </c>
      <c r="D71">
        <f t="shared" ref="D71:D78" si="5">5000*3600-E71</f>
        <v>18000270.263540104</v>
      </c>
      <c r="E71">
        <f t="shared" si="2"/>
        <v>-270.26354010582406</v>
      </c>
      <c r="F71" s="6">
        <v>339</v>
      </c>
      <c r="G71" s="7">
        <v>-609.26354010582406</v>
      </c>
      <c r="J71" s="3">
        <f t="shared" si="3"/>
        <v>43751.701388888891</v>
      </c>
      <c r="K71">
        <f t="shared" ref="K71:K78" si="6">C71/1000</f>
        <v>5.0000750732055845</v>
      </c>
      <c r="L71">
        <f t="shared" ref="L71:N78" si="7">E71</f>
        <v>-270.26354010582406</v>
      </c>
      <c r="M71">
        <f t="shared" si="7"/>
        <v>339</v>
      </c>
      <c r="N71">
        <f t="shared" si="7"/>
        <v>-609.26354010582406</v>
      </c>
    </row>
    <row r="72" spans="1:14" x14ac:dyDescent="0.55000000000000004">
      <c r="A72">
        <v>67</v>
      </c>
      <c r="B72" s="3">
        <v>43751.708333333336</v>
      </c>
      <c r="C72">
        <f t="shared" si="4"/>
        <v>4999.9214722222223</v>
      </c>
      <c r="D72">
        <f t="shared" si="5"/>
        <v>17999717.300000001</v>
      </c>
      <c r="E72">
        <f t="shared" ref="E72:E78" si="8">F72+G72</f>
        <v>282.7</v>
      </c>
      <c r="F72" s="6">
        <v>282.7</v>
      </c>
      <c r="G72" s="7">
        <v>0</v>
      </c>
      <c r="J72" s="3">
        <f t="shared" ref="J72:J78" si="9">B72</f>
        <v>43751.708333333336</v>
      </c>
      <c r="K72">
        <f t="shared" si="6"/>
        <v>4.9999214722222227</v>
      </c>
      <c r="L72">
        <f t="shared" si="7"/>
        <v>282.7</v>
      </c>
      <c r="M72">
        <f t="shared" si="7"/>
        <v>282.7</v>
      </c>
      <c r="N72">
        <f t="shared" si="7"/>
        <v>0</v>
      </c>
    </row>
    <row r="73" spans="1:14" x14ac:dyDescent="0.55000000000000004">
      <c r="A73">
        <v>68</v>
      </c>
      <c r="B73" s="3">
        <v>43751.715277777781</v>
      </c>
      <c r="C73">
        <f t="shared" si="4"/>
        <v>4999.9369166666665</v>
      </c>
      <c r="D73">
        <f t="shared" si="5"/>
        <v>17999772.899999999</v>
      </c>
      <c r="E73">
        <f t="shared" si="8"/>
        <v>227.1</v>
      </c>
      <c r="F73" s="6">
        <v>227.1</v>
      </c>
      <c r="G73" s="7">
        <v>0</v>
      </c>
      <c r="J73" s="3">
        <f t="shared" si="9"/>
        <v>43751.715277777781</v>
      </c>
      <c r="K73">
        <f t="shared" si="6"/>
        <v>4.999936916666667</v>
      </c>
      <c r="L73">
        <f t="shared" si="7"/>
        <v>227.1</v>
      </c>
      <c r="M73">
        <f t="shared" si="7"/>
        <v>227.1</v>
      </c>
      <c r="N73">
        <f t="shared" si="7"/>
        <v>0</v>
      </c>
    </row>
    <row r="74" spans="1:14" x14ac:dyDescent="0.55000000000000004">
      <c r="A74">
        <v>69</v>
      </c>
      <c r="B74" s="3">
        <v>43751.722222222219</v>
      </c>
      <c r="C74">
        <f t="shared" si="4"/>
        <v>4999.9518888888888</v>
      </c>
      <c r="D74">
        <f t="shared" si="5"/>
        <v>17999826.800000001</v>
      </c>
      <c r="E74">
        <f t="shared" si="8"/>
        <v>173.2</v>
      </c>
      <c r="F74" s="6">
        <v>173.2</v>
      </c>
      <c r="G74" s="7">
        <v>0</v>
      </c>
      <c r="J74" s="3">
        <f t="shared" si="9"/>
        <v>43751.722222222219</v>
      </c>
      <c r="K74">
        <f t="shared" si="6"/>
        <v>4.999951888888889</v>
      </c>
      <c r="L74">
        <f t="shared" si="7"/>
        <v>173.2</v>
      </c>
      <c r="M74">
        <f t="shared" si="7"/>
        <v>173.2</v>
      </c>
      <c r="N74">
        <f t="shared" si="7"/>
        <v>0</v>
      </c>
    </row>
    <row r="75" spans="1:14" x14ac:dyDescent="0.55000000000000004">
      <c r="A75">
        <v>70</v>
      </c>
      <c r="B75" s="3">
        <v>43751.729166666664</v>
      </c>
      <c r="C75">
        <f t="shared" si="4"/>
        <v>4999.966138888889</v>
      </c>
      <c r="D75">
        <f t="shared" si="5"/>
        <v>17999878.100000001</v>
      </c>
      <c r="E75">
        <f t="shared" si="8"/>
        <v>121.9</v>
      </c>
      <c r="F75" s="6">
        <v>121.9</v>
      </c>
      <c r="G75" s="7">
        <v>0</v>
      </c>
      <c r="J75" s="3">
        <f t="shared" si="9"/>
        <v>43751.729166666664</v>
      </c>
      <c r="K75">
        <f t="shared" si="6"/>
        <v>4.9999661388888885</v>
      </c>
      <c r="L75">
        <f t="shared" si="7"/>
        <v>121.9</v>
      </c>
      <c r="M75">
        <f t="shared" si="7"/>
        <v>121.9</v>
      </c>
      <c r="N75">
        <f t="shared" si="7"/>
        <v>0</v>
      </c>
    </row>
    <row r="76" spans="1:14" x14ac:dyDescent="0.55000000000000004">
      <c r="A76">
        <v>71</v>
      </c>
      <c r="B76" s="3">
        <v>43751.736111111109</v>
      </c>
      <c r="C76">
        <f t="shared" si="4"/>
        <v>4999.9791388888889</v>
      </c>
      <c r="D76">
        <f t="shared" si="5"/>
        <v>17999924.899999999</v>
      </c>
      <c r="E76">
        <f t="shared" si="8"/>
        <v>75.099999999999994</v>
      </c>
      <c r="F76" s="6">
        <v>75.099999999999994</v>
      </c>
      <c r="G76" s="7">
        <v>0</v>
      </c>
      <c r="J76" s="3">
        <f t="shared" si="9"/>
        <v>43751.736111111109</v>
      </c>
      <c r="K76">
        <f t="shared" si="6"/>
        <v>4.9999791388888886</v>
      </c>
      <c r="L76">
        <f t="shared" si="7"/>
        <v>75.099999999999994</v>
      </c>
      <c r="M76">
        <f t="shared" si="7"/>
        <v>75.099999999999994</v>
      </c>
      <c r="N76">
        <f t="shared" si="7"/>
        <v>0</v>
      </c>
    </row>
    <row r="77" spans="1:14" x14ac:dyDescent="0.55000000000000004">
      <c r="A77">
        <v>72</v>
      </c>
      <c r="B77" s="3">
        <v>43751.743055555555</v>
      </c>
      <c r="C77">
        <f t="shared" si="4"/>
        <v>4999.99</v>
      </c>
      <c r="D77">
        <f t="shared" si="5"/>
        <v>17999964</v>
      </c>
      <c r="E77">
        <f t="shared" si="8"/>
        <v>36</v>
      </c>
      <c r="F77" s="6">
        <v>36</v>
      </c>
      <c r="G77" s="7">
        <v>0</v>
      </c>
      <c r="J77" s="3">
        <f t="shared" si="9"/>
        <v>43751.743055555555</v>
      </c>
      <c r="K77">
        <f t="shared" si="6"/>
        <v>4.9999899999999995</v>
      </c>
      <c r="L77">
        <f t="shared" si="7"/>
        <v>36</v>
      </c>
      <c r="M77">
        <f t="shared" si="7"/>
        <v>36</v>
      </c>
      <c r="N77">
        <f t="shared" si="7"/>
        <v>0</v>
      </c>
    </row>
    <row r="78" spans="1:14" ht="18.5" thickBot="1" x14ac:dyDescent="0.6">
      <c r="A78">
        <v>73</v>
      </c>
      <c r="B78" s="3">
        <v>43751.75</v>
      </c>
      <c r="C78">
        <f t="shared" si="4"/>
        <v>4999.9972777777775</v>
      </c>
      <c r="D78">
        <f t="shared" si="5"/>
        <v>17999990.199999999</v>
      </c>
      <c r="E78">
        <f t="shared" si="8"/>
        <v>9.8000000000000007</v>
      </c>
      <c r="F78" s="8">
        <v>9.8000000000000007</v>
      </c>
      <c r="G78" s="9">
        <v>0</v>
      </c>
      <c r="J78" s="3">
        <f t="shared" si="9"/>
        <v>43751.75</v>
      </c>
      <c r="K78">
        <f t="shared" si="6"/>
        <v>4.9999972777777772</v>
      </c>
      <c r="L78">
        <f t="shared" si="7"/>
        <v>9.8000000000000007</v>
      </c>
      <c r="M78">
        <f t="shared" si="7"/>
        <v>9.8000000000000007</v>
      </c>
      <c r="N78">
        <f t="shared" si="7"/>
        <v>0</v>
      </c>
    </row>
  </sheetData>
  <mergeCells count="1">
    <mergeCell ref="J4:N4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B1">
                <anchor moveWithCells="1" sizeWithCells="1">
                  <from>
                    <xdr:col>8</xdr:col>
                    <xdr:colOff>6350</xdr:colOff>
                    <xdr:row>1</xdr:row>
                    <xdr:rowOff>6350</xdr:rowOff>
                  </from>
                  <to>
                    <xdr:col>12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Main_Day1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2019-09-26T04:24:07Z</dcterms:created>
  <dcterms:modified xsi:type="dcterms:W3CDTF">2019-09-26T08:09:27Z</dcterms:modified>
</cp:coreProperties>
</file>