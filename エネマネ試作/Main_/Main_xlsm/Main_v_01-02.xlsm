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エネマネ試作\"/>
    </mc:Choice>
  </mc:AlternateContent>
  <xr:revisionPtr revIDLastSave="0" documentId="13_ncr:1_{04775C75-4C0A-42E4-9D9D-0332E6C4B2D2}" xr6:coauthVersionLast="44" xr6:coauthVersionMax="44" xr10:uidLastSave="{00000000-0000-0000-0000-000000000000}"/>
  <bookViews>
    <workbookView xWindow="-110" yWindow="-110" windowWidth="19420" windowHeight="10420" xr2:uid="{E90C78FF-9DE6-4F46-96B2-25202C975329}"/>
  </bookViews>
  <sheets>
    <sheet name="P,ΣP-t_v_01-02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7" i="1" l="1"/>
  <c r="F58" i="1"/>
  <c r="C111" i="1"/>
  <c r="E111" i="1" s="1"/>
  <c r="E110" i="1"/>
  <c r="C110" i="1"/>
  <c r="C109" i="1"/>
  <c r="E109" i="1" s="1"/>
  <c r="C108" i="1"/>
  <c r="E108" i="1" s="1"/>
  <c r="C107" i="1"/>
  <c r="E107" i="1" s="1"/>
  <c r="E106" i="1"/>
  <c r="C106" i="1"/>
  <c r="C105" i="1"/>
  <c r="E105" i="1" s="1"/>
  <c r="C104" i="1"/>
  <c r="E104" i="1" s="1"/>
  <c r="E103" i="1"/>
  <c r="C103" i="1"/>
  <c r="E102" i="1"/>
  <c r="C102" i="1"/>
  <c r="C101" i="1"/>
  <c r="E101" i="1" s="1"/>
  <c r="C100" i="1"/>
  <c r="E100" i="1" s="1"/>
  <c r="C99" i="1"/>
  <c r="E99" i="1" s="1"/>
  <c r="E98" i="1"/>
  <c r="C98" i="1"/>
  <c r="C97" i="1"/>
  <c r="E97" i="1" s="1"/>
  <c r="C96" i="1"/>
  <c r="E96" i="1" s="1"/>
  <c r="E95" i="1"/>
  <c r="C95" i="1"/>
  <c r="E94" i="1"/>
  <c r="C94" i="1"/>
  <c r="C93" i="1"/>
  <c r="E93" i="1" s="1"/>
  <c r="C92" i="1"/>
  <c r="E92" i="1" s="1"/>
  <c r="C91" i="1"/>
  <c r="E91" i="1" s="1"/>
  <c r="E90" i="1"/>
  <c r="C90" i="1"/>
  <c r="C89" i="1"/>
  <c r="E89" i="1" s="1"/>
  <c r="C88" i="1"/>
  <c r="E88" i="1" s="1"/>
  <c r="E87" i="1"/>
  <c r="C87" i="1"/>
  <c r="E86" i="1"/>
  <c r="C86" i="1"/>
  <c r="C85" i="1"/>
  <c r="E85" i="1" s="1"/>
  <c r="C84" i="1"/>
  <c r="E84" i="1" s="1"/>
  <c r="E83" i="1"/>
  <c r="C83" i="1"/>
  <c r="E82" i="1"/>
  <c r="C82" i="1"/>
  <c r="C81" i="1"/>
  <c r="E81" i="1" s="1"/>
  <c r="C80" i="1"/>
  <c r="E80" i="1" s="1"/>
  <c r="E79" i="1"/>
  <c r="C79" i="1"/>
  <c r="E78" i="1"/>
  <c r="C78" i="1"/>
  <c r="C77" i="1"/>
  <c r="E77" i="1" s="1"/>
  <c r="C76" i="1"/>
  <c r="E76" i="1" s="1"/>
  <c r="E75" i="1"/>
  <c r="C75" i="1"/>
  <c r="E74" i="1"/>
  <c r="C74" i="1"/>
  <c r="C73" i="1"/>
  <c r="E73" i="1" s="1"/>
  <c r="C72" i="1"/>
  <c r="E72" i="1" s="1"/>
  <c r="E71" i="1"/>
  <c r="C71" i="1"/>
  <c r="E70" i="1"/>
  <c r="C70" i="1"/>
  <c r="C69" i="1"/>
  <c r="E69" i="1" s="1"/>
  <c r="C68" i="1"/>
  <c r="E68" i="1" s="1"/>
  <c r="E67" i="1"/>
  <c r="C67" i="1"/>
  <c r="E66" i="1"/>
  <c r="C66" i="1"/>
  <c r="C65" i="1"/>
  <c r="E65" i="1" s="1"/>
  <c r="C64" i="1"/>
  <c r="E64" i="1" s="1"/>
  <c r="E63" i="1"/>
  <c r="C63" i="1"/>
  <c r="E62" i="1"/>
  <c r="C62" i="1"/>
  <c r="C61" i="1"/>
  <c r="E61" i="1" s="1"/>
  <c r="C60" i="1"/>
  <c r="E60" i="1" s="1"/>
  <c r="E59" i="1"/>
  <c r="C59" i="1"/>
  <c r="E58" i="1"/>
  <c r="C58" i="1"/>
  <c r="C57" i="1"/>
  <c r="E57" i="1" s="1"/>
  <c r="F108" i="1" l="1"/>
  <c r="F100" i="1"/>
  <c r="F92" i="1"/>
  <c r="F84" i="1"/>
  <c r="F76" i="1"/>
  <c r="F68" i="1"/>
  <c r="F60" i="1"/>
  <c r="F91" i="1"/>
  <c r="F75" i="1"/>
  <c r="F59" i="1"/>
  <c r="F79" i="1"/>
  <c r="F105" i="1"/>
  <c r="F97" i="1"/>
  <c r="F89" i="1"/>
  <c r="F81" i="1"/>
  <c r="F73" i="1"/>
  <c r="F65" i="1"/>
  <c r="F62" i="1"/>
  <c r="F107" i="1"/>
  <c r="F99" i="1"/>
  <c r="F95" i="1"/>
  <c r="F110" i="1"/>
  <c r="F102" i="1"/>
  <c r="F94" i="1"/>
  <c r="F86" i="1"/>
  <c r="F78" i="1"/>
  <c r="F70" i="1"/>
  <c r="F83" i="1"/>
  <c r="F67" i="1"/>
  <c r="F103" i="1"/>
  <c r="F63" i="1"/>
  <c r="F104" i="1"/>
  <c r="F96" i="1"/>
  <c r="F88" i="1"/>
  <c r="F80" i="1"/>
  <c r="F72" i="1"/>
  <c r="F64" i="1"/>
  <c r="F90" i="1"/>
  <c r="F66" i="1"/>
  <c r="F111" i="1"/>
  <c r="F71" i="1"/>
  <c r="F109" i="1"/>
  <c r="F101" i="1"/>
  <c r="F93" i="1"/>
  <c r="F85" i="1"/>
  <c r="F77" i="1"/>
  <c r="F69" i="1"/>
  <c r="F61" i="1"/>
  <c r="F106" i="1"/>
  <c r="F98" i="1"/>
  <c r="F82" i="1"/>
  <c r="F74" i="1"/>
  <c r="F87" i="1"/>
  <c r="E56" i="1" l="1"/>
  <c r="C56" i="1"/>
  <c r="C55" i="1"/>
  <c r="E55" i="1" s="1"/>
  <c r="C54" i="1"/>
  <c r="E54" i="1" s="1"/>
  <c r="E53" i="1"/>
  <c r="C53" i="1"/>
  <c r="C52" i="1"/>
  <c r="E52" i="1" s="1"/>
  <c r="C51" i="1"/>
  <c r="E51" i="1" s="1"/>
  <c r="E50" i="1"/>
  <c r="C50" i="1"/>
  <c r="E49" i="1"/>
  <c r="C49" i="1"/>
  <c r="E48" i="1"/>
  <c r="C48" i="1"/>
  <c r="C47" i="1"/>
  <c r="E47" i="1" s="1"/>
  <c r="C46" i="1"/>
  <c r="E46" i="1" s="1"/>
  <c r="E45" i="1"/>
  <c r="C45" i="1"/>
  <c r="E44" i="1"/>
  <c r="C44" i="1"/>
  <c r="C43" i="1"/>
  <c r="E43" i="1" s="1"/>
  <c r="E42" i="1"/>
  <c r="C42" i="1"/>
  <c r="E41" i="1"/>
  <c r="C41" i="1"/>
  <c r="E40" i="1"/>
  <c r="C40" i="1"/>
  <c r="C39" i="1"/>
  <c r="E39" i="1" s="1"/>
  <c r="C38" i="1"/>
  <c r="E38" i="1" s="1"/>
  <c r="E37" i="1"/>
  <c r="C37" i="1"/>
  <c r="C36" i="1"/>
  <c r="E36" i="1" s="1"/>
  <c r="C35" i="1"/>
  <c r="E35" i="1" s="1"/>
  <c r="E34" i="1"/>
  <c r="C34" i="1"/>
  <c r="E33" i="1"/>
  <c r="C33" i="1"/>
  <c r="E32" i="1"/>
  <c r="C32" i="1"/>
  <c r="C31" i="1"/>
  <c r="E31" i="1" s="1"/>
  <c r="C30" i="1"/>
  <c r="E30" i="1" s="1"/>
  <c r="E29" i="1"/>
  <c r="C29" i="1"/>
  <c r="C28" i="1"/>
  <c r="E28" i="1" s="1"/>
  <c r="C27" i="1"/>
  <c r="E27" i="1" s="1"/>
  <c r="E26" i="1"/>
  <c r="C26" i="1"/>
  <c r="E25" i="1"/>
  <c r="C25" i="1"/>
  <c r="E24" i="1"/>
  <c r="C24" i="1"/>
  <c r="C23" i="1"/>
  <c r="E23" i="1" s="1"/>
  <c r="C22" i="1"/>
  <c r="E22" i="1" s="1"/>
  <c r="E21" i="1"/>
  <c r="C21" i="1"/>
  <c r="C20" i="1"/>
  <c r="E20" i="1" s="1"/>
  <c r="C19" i="1"/>
  <c r="E19" i="1" s="1"/>
  <c r="E18" i="1"/>
  <c r="C18" i="1"/>
  <c r="E17" i="1"/>
  <c r="C17" i="1"/>
  <c r="E16" i="1"/>
  <c r="C16" i="1"/>
  <c r="C15" i="1"/>
  <c r="E15" i="1" s="1"/>
  <c r="C14" i="1"/>
  <c r="E14" i="1" s="1"/>
  <c r="E13" i="1"/>
  <c r="C13" i="1"/>
  <c r="C12" i="1"/>
  <c r="E12" i="1" s="1"/>
  <c r="C11" i="1"/>
  <c r="E11" i="1" s="1"/>
  <c r="E10" i="1"/>
  <c r="C10" i="1"/>
  <c r="E9" i="1"/>
  <c r="C9" i="1"/>
  <c r="E8" i="1"/>
  <c r="C8" i="1"/>
  <c r="C7" i="1"/>
  <c r="E7" i="1" s="1"/>
  <c r="C6" i="1"/>
  <c r="E6" i="1" s="1"/>
  <c r="E5" i="1"/>
  <c r="C5" i="1"/>
  <c r="C4" i="1"/>
  <c r="E4" i="1" s="1"/>
  <c r="C3" i="1"/>
  <c r="E3" i="1" s="1"/>
  <c r="F2" i="1"/>
  <c r="E2" i="1"/>
  <c r="C2" i="1"/>
  <c r="F50" i="1" l="1"/>
  <c r="F53" i="1"/>
  <c r="F45" i="1"/>
  <c r="F37" i="1"/>
  <c r="F21" i="1"/>
  <c r="F13" i="1"/>
  <c r="F34" i="1"/>
  <c r="F26" i="1"/>
  <c r="F18" i="1"/>
  <c r="F10" i="1"/>
  <c r="F17" i="1"/>
  <c r="F9" i="1"/>
  <c r="F6" i="1"/>
  <c r="F22" i="1"/>
  <c r="F14" i="1"/>
  <c r="F8" i="1"/>
  <c r="F32" i="1"/>
  <c r="F24" i="1"/>
  <c r="F16" i="1"/>
  <c r="F29" i="1"/>
  <c r="F5" i="1"/>
  <c r="F40" i="1"/>
  <c r="F48" i="1"/>
  <c r="F56" i="1"/>
  <c r="F3" i="1"/>
  <c r="F11" i="1"/>
  <c r="F19" i="1"/>
  <c r="F27" i="1"/>
  <c r="F35" i="1"/>
  <c r="F43" i="1"/>
  <c r="F51" i="1"/>
  <c r="F30" i="1"/>
  <c r="F38" i="1"/>
  <c r="F46" i="1"/>
  <c r="F54" i="1"/>
  <c r="F25" i="1"/>
  <c r="F33" i="1"/>
  <c r="F41" i="1"/>
  <c r="F49" i="1"/>
  <c r="F4" i="1"/>
  <c r="F12" i="1"/>
  <c r="F20" i="1"/>
  <c r="F28" i="1"/>
  <c r="F36" i="1"/>
  <c r="F44" i="1"/>
  <c r="F52" i="1"/>
  <c r="F7" i="1"/>
  <c r="F15" i="1"/>
  <c r="F23" i="1"/>
  <c r="F31" i="1"/>
  <c r="F39" i="1"/>
  <c r="F47" i="1"/>
  <c r="F55" i="1"/>
  <c r="F42" i="1"/>
</calcChain>
</file>

<file path=xl/sharedStrings.xml><?xml version="1.0" encoding="utf-8"?>
<sst xmlns="http://schemas.openxmlformats.org/spreadsheetml/2006/main" count="21" uniqueCount="18">
  <si>
    <t>Main_1</t>
    <phoneticPr fontId="1"/>
  </si>
  <si>
    <t>Main_2</t>
    <phoneticPr fontId="1"/>
  </si>
  <si>
    <t>Main_v_01</t>
    <phoneticPr fontId="1"/>
  </si>
  <si>
    <t>Main_v_02</t>
    <phoneticPr fontId="1"/>
  </si>
  <si>
    <t>Count</t>
    <phoneticPr fontId="1"/>
  </si>
  <si>
    <t>Time</t>
    <phoneticPr fontId="1"/>
  </si>
  <si>
    <t>PM</t>
    <phoneticPr fontId="1"/>
  </si>
  <si>
    <t>Ps</t>
    <phoneticPr fontId="1"/>
  </si>
  <si>
    <t>PB</t>
    <phoneticPr fontId="1"/>
  </si>
  <si>
    <t>ΣPB</t>
    <phoneticPr fontId="1"/>
  </si>
  <si>
    <t>Ps_v_01</t>
    <phoneticPr fontId="1"/>
  </si>
  <si>
    <t>vd[km/h]</t>
    <phoneticPr fontId="1"/>
  </si>
  <si>
    <r>
      <t>P</t>
    </r>
    <r>
      <rPr>
        <sz val="9"/>
        <color theme="1"/>
        <rFont val="游ゴシック"/>
        <family val="3"/>
        <charset val="128"/>
        <scheme val="minor"/>
      </rPr>
      <t>M</t>
    </r>
    <r>
      <rPr>
        <sz val="11"/>
        <color theme="1"/>
        <rFont val="游ゴシック"/>
        <family val="2"/>
        <charset val="128"/>
        <scheme val="minor"/>
      </rPr>
      <t>[W]</t>
    </r>
    <phoneticPr fontId="1"/>
  </si>
  <si>
    <t>Ps_v_02</t>
    <phoneticPr fontId="1"/>
  </si>
  <si>
    <t>PB</t>
    <phoneticPr fontId="1"/>
  </si>
  <si>
    <t>PB_v_03</t>
    <phoneticPr fontId="1"/>
  </si>
  <si>
    <t>PM_v_02</t>
    <phoneticPr fontId="1"/>
  </si>
  <si>
    <t>ΣPB(01)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</si>
</sst>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</font>
    <font>
      <sz val="9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0" fontId="2" fillId="0" borderId="1" xfId="0" applyFont="1" applyBorder="1" applyAlignment="1">
      <alignment horizontal="right" vertical="center" wrapText="1"/>
    </xf>
    <xf numFmtId="0" fontId="0" fillId="2" borderId="2" xfId="0" applyFill="1" applyBorder="1">
      <alignment vertical="center"/>
    </xf>
    <xf numFmtId="0" fontId="0" fillId="0" borderId="3" xfId="0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7" xfId="0" applyBorder="1">
      <alignment vertical="center"/>
    </xf>
    <xf numFmtId="0" fontId="0" fillId="2" borderId="8" xfId="0" applyFill="1" applyBorder="1">
      <alignment vertical="center"/>
    </xf>
    <xf numFmtId="0" fontId="0" fillId="0" borderId="9" xfId="0" applyBorder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D0363-A315-438B-B83C-083AE384DF0B}">
  <sheetPr codeName="Sheet1"/>
  <dimension ref="A1:O111"/>
  <sheetViews>
    <sheetView tabSelected="1" zoomScale="60" zoomScaleNormal="60" workbookViewId="0">
      <selection activeCell="H14" sqref="H14"/>
    </sheetView>
  </sheetViews>
  <sheetFormatPr defaultRowHeight="18" x14ac:dyDescent="0.55000000000000004"/>
  <cols>
    <col min="2" max="2" width="16.08203125" customWidth="1"/>
    <col min="6" max="6" width="9.5" customWidth="1"/>
  </cols>
  <sheetData>
    <row r="1" spans="1:15" ht="18.5" thickBot="1" x14ac:dyDescent="0.6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s="6" t="s">
        <v>11</v>
      </c>
      <c r="H1" s="7" t="s">
        <v>12</v>
      </c>
      <c r="N1" s="1" t="s">
        <v>0</v>
      </c>
      <c r="O1" t="s">
        <v>2</v>
      </c>
    </row>
    <row r="2" spans="1:15" ht="18.5" thickBot="1" x14ac:dyDescent="0.6">
      <c r="A2">
        <v>1</v>
      </c>
      <c r="B2" s="2">
        <v>43731.333333333336</v>
      </c>
      <c r="C2">
        <f t="shared" ref="C2:C65" si="0">-$H$2</f>
        <v>-987.04557264115783</v>
      </c>
      <c r="D2" s="3">
        <v>617.5</v>
      </c>
      <c r="E2">
        <f>D2+C2</f>
        <v>-369.54557264115783</v>
      </c>
      <c r="F2">
        <f>5000+SUM($E$2:E2)</f>
        <v>4630.4544273588417</v>
      </c>
      <c r="G2">
        <v>80</v>
      </c>
      <c r="H2">
        <v>987.04557264115783</v>
      </c>
      <c r="I2" s="4" t="s">
        <v>7</v>
      </c>
      <c r="J2" s="5" t="s">
        <v>10</v>
      </c>
      <c r="N2" s="1" t="s">
        <v>1</v>
      </c>
      <c r="O2" t="s">
        <v>3</v>
      </c>
    </row>
    <row r="3" spans="1:15" ht="18.5" thickBot="1" x14ac:dyDescent="0.6">
      <c r="A3">
        <v>2</v>
      </c>
      <c r="B3" s="2">
        <v>43731.340277777781</v>
      </c>
      <c r="C3">
        <f t="shared" si="0"/>
        <v>-987.04557264115783</v>
      </c>
      <c r="D3" s="3">
        <v>670.7</v>
      </c>
      <c r="E3">
        <f>D3+C3</f>
        <v>-316.34557264115779</v>
      </c>
      <c r="F3">
        <f>5000+SUM($E$2:E3)</f>
        <v>4314.1088547176842</v>
      </c>
    </row>
    <row r="4" spans="1:15" ht="18.5" thickBot="1" x14ac:dyDescent="0.6">
      <c r="A4">
        <v>3</v>
      </c>
      <c r="B4" s="2">
        <v>43731.347222222219</v>
      </c>
      <c r="C4">
        <f t="shared" si="0"/>
        <v>-987.04557264115783</v>
      </c>
      <c r="D4" s="3">
        <v>722.7</v>
      </c>
      <c r="E4">
        <f t="shared" ref="E4:E56" si="1">D4+C4</f>
        <v>-264.34557264115779</v>
      </c>
      <c r="F4">
        <f>5000+SUM($E$2:E4)</f>
        <v>4049.7632820765266</v>
      </c>
    </row>
    <row r="5" spans="1:15" ht="18.5" thickBot="1" x14ac:dyDescent="0.6">
      <c r="A5">
        <v>4</v>
      </c>
      <c r="B5" s="2">
        <v>43731.354166666664</v>
      </c>
      <c r="C5">
        <f t="shared" si="0"/>
        <v>-987.04557264115783</v>
      </c>
      <c r="D5" s="3">
        <v>773.3</v>
      </c>
      <c r="E5">
        <f t="shared" si="1"/>
        <v>-213.74557264115788</v>
      </c>
      <c r="F5">
        <f>5000+SUM($E$2:E5)</f>
        <v>3836.0177094353685</v>
      </c>
    </row>
    <row r="6" spans="1:15" ht="18.5" thickBot="1" x14ac:dyDescent="0.6">
      <c r="A6">
        <v>5</v>
      </c>
      <c r="B6" s="2">
        <v>43731.361111111109</v>
      </c>
      <c r="C6">
        <f t="shared" si="0"/>
        <v>-987.04557264115783</v>
      </c>
      <c r="D6" s="3">
        <v>822.4</v>
      </c>
      <c r="E6">
        <f t="shared" si="1"/>
        <v>-164.64557264115786</v>
      </c>
      <c r="F6">
        <f>5000+SUM($E$2:E6)</f>
        <v>3671.3721367942107</v>
      </c>
    </row>
    <row r="7" spans="1:15" ht="18.5" thickBot="1" x14ac:dyDescent="0.6">
      <c r="A7">
        <v>6</v>
      </c>
      <c r="B7" s="2">
        <v>43731.368055497682</v>
      </c>
      <c r="C7">
        <f t="shared" si="0"/>
        <v>-987.04557264115783</v>
      </c>
      <c r="D7" s="3">
        <v>869.8</v>
      </c>
      <c r="E7">
        <f t="shared" si="1"/>
        <v>-117.24557264115788</v>
      </c>
      <c r="F7">
        <f>5000+SUM($E$2:E7)</f>
        <v>3554.1265641530526</v>
      </c>
    </row>
    <row r="8" spans="1:15" ht="18.5" thickBot="1" x14ac:dyDescent="0.6">
      <c r="A8">
        <v>7</v>
      </c>
      <c r="B8" s="2">
        <v>43731.374999942127</v>
      </c>
      <c r="C8">
        <f t="shared" si="0"/>
        <v>-987.04557264115783</v>
      </c>
      <c r="D8" s="3">
        <v>915.4</v>
      </c>
      <c r="E8">
        <f t="shared" si="1"/>
        <v>-71.645572641157855</v>
      </c>
      <c r="F8">
        <f>5000+SUM($E$2:E8)</f>
        <v>3482.4809915118949</v>
      </c>
    </row>
    <row r="9" spans="1:15" ht="18.5" thickBot="1" x14ac:dyDescent="0.6">
      <c r="A9">
        <v>8</v>
      </c>
      <c r="B9" s="2">
        <v>43731.381944386572</v>
      </c>
      <c r="C9">
        <f t="shared" si="0"/>
        <v>-987.04557264115783</v>
      </c>
      <c r="D9" s="3">
        <v>959.1</v>
      </c>
      <c r="E9">
        <f t="shared" si="1"/>
        <v>-27.94557264115781</v>
      </c>
      <c r="F9">
        <f>5000+SUM($E$2:E9)</f>
        <v>3454.535418870737</v>
      </c>
    </row>
    <row r="10" spans="1:15" ht="18.5" thickBot="1" x14ac:dyDescent="0.6">
      <c r="A10">
        <v>9</v>
      </c>
      <c r="B10" s="2">
        <v>43731.388888831018</v>
      </c>
      <c r="C10">
        <f t="shared" si="0"/>
        <v>-987.04557264115783</v>
      </c>
      <c r="D10" s="3">
        <v>1000.9</v>
      </c>
      <c r="E10">
        <f t="shared" si="1"/>
        <v>13.854427358842145</v>
      </c>
      <c r="F10">
        <f>5000+SUM($E$2:E10)</f>
        <v>3468.3898462295792</v>
      </c>
    </row>
    <row r="11" spans="1:15" ht="18.5" thickBot="1" x14ac:dyDescent="0.6">
      <c r="A11">
        <v>10</v>
      </c>
      <c r="B11" s="2">
        <v>43731.395833275463</v>
      </c>
      <c r="C11">
        <f t="shared" si="0"/>
        <v>-987.04557264115783</v>
      </c>
      <c r="D11" s="3">
        <v>1040.5</v>
      </c>
      <c r="E11">
        <f t="shared" si="1"/>
        <v>53.454427358842167</v>
      </c>
      <c r="F11">
        <f>5000+SUM($E$2:E11)</f>
        <v>3521.8442735884214</v>
      </c>
    </row>
    <row r="12" spans="1:15" ht="18.5" thickBot="1" x14ac:dyDescent="0.6">
      <c r="A12">
        <v>11</v>
      </c>
      <c r="B12" s="2">
        <v>43731.402777719908</v>
      </c>
      <c r="C12">
        <f t="shared" si="0"/>
        <v>-987.04557264115783</v>
      </c>
      <c r="D12" s="3">
        <v>1078.0999999999999</v>
      </c>
      <c r="E12">
        <f t="shared" si="1"/>
        <v>91.054427358842077</v>
      </c>
      <c r="F12">
        <f>5000+SUM($E$2:E12)</f>
        <v>3612.8987009472635</v>
      </c>
    </row>
    <row r="13" spans="1:15" ht="18.5" thickBot="1" x14ac:dyDescent="0.6">
      <c r="A13">
        <v>12</v>
      </c>
      <c r="B13" s="2">
        <v>43731.409722164353</v>
      </c>
      <c r="C13">
        <f t="shared" si="0"/>
        <v>-987.04557264115783</v>
      </c>
      <c r="D13" s="3">
        <v>1113.4000000000001</v>
      </c>
      <c r="E13">
        <f t="shared" si="1"/>
        <v>126.35442735884226</v>
      </c>
      <c r="F13">
        <f>5000+SUM($E$2:E13)</f>
        <v>3739.2531283061057</v>
      </c>
    </row>
    <row r="14" spans="1:15" ht="18.5" thickBot="1" x14ac:dyDescent="0.6">
      <c r="A14">
        <v>13</v>
      </c>
      <c r="B14" s="2">
        <v>43731.416666608799</v>
      </c>
      <c r="C14">
        <f t="shared" si="0"/>
        <v>-987.04557264115783</v>
      </c>
      <c r="D14" s="3">
        <v>1146.3</v>
      </c>
      <c r="E14">
        <f t="shared" si="1"/>
        <v>159.25442735884212</v>
      </c>
      <c r="F14">
        <f>5000+SUM($E$2:E14)</f>
        <v>3898.5075556649481</v>
      </c>
    </row>
    <row r="15" spans="1:15" ht="18.5" thickBot="1" x14ac:dyDescent="0.6">
      <c r="A15">
        <v>14</v>
      </c>
      <c r="B15" s="2">
        <v>43731.423611053244</v>
      </c>
      <c r="C15">
        <f t="shared" si="0"/>
        <v>-987.04557264115783</v>
      </c>
      <c r="D15" s="3">
        <v>1176.9000000000001</v>
      </c>
      <c r="E15">
        <f t="shared" si="1"/>
        <v>189.85442735884226</v>
      </c>
      <c r="F15">
        <f>5000+SUM($E$2:E15)</f>
        <v>4088.3619830237903</v>
      </c>
    </row>
    <row r="16" spans="1:15" ht="18.5" thickBot="1" x14ac:dyDescent="0.6">
      <c r="A16">
        <v>15</v>
      </c>
      <c r="B16" s="2">
        <v>43731.430555497682</v>
      </c>
      <c r="C16">
        <f t="shared" si="0"/>
        <v>-987.04557264115783</v>
      </c>
      <c r="D16" s="3">
        <v>1205</v>
      </c>
      <c r="E16">
        <f t="shared" si="1"/>
        <v>217.95442735884217</v>
      </c>
      <c r="F16">
        <f>5000+SUM($E$2:E16)</f>
        <v>4306.3164103826321</v>
      </c>
    </row>
    <row r="17" spans="1:6" ht="18.5" thickBot="1" x14ac:dyDescent="0.6">
      <c r="A17">
        <v>16</v>
      </c>
      <c r="B17" s="2">
        <v>43731.437499942127</v>
      </c>
      <c r="C17">
        <f t="shared" si="0"/>
        <v>-987.04557264115783</v>
      </c>
      <c r="D17" s="3">
        <v>1230.7</v>
      </c>
      <c r="E17">
        <f t="shared" si="1"/>
        <v>243.65442735884221</v>
      </c>
      <c r="F17">
        <f>5000+SUM($E$2:E17)</f>
        <v>4549.9708377414745</v>
      </c>
    </row>
    <row r="18" spans="1:6" ht="18.5" thickBot="1" x14ac:dyDescent="0.6">
      <c r="A18">
        <v>17</v>
      </c>
      <c r="B18" s="2">
        <v>43731.444444386572</v>
      </c>
      <c r="C18">
        <f t="shared" si="0"/>
        <v>-987.04557264115783</v>
      </c>
      <c r="D18" s="3">
        <v>1253.8</v>
      </c>
      <c r="E18">
        <f t="shared" si="1"/>
        <v>266.75442735884212</v>
      </c>
      <c r="F18">
        <f>5000+SUM($E$2:E18)</f>
        <v>4816.7252651003164</v>
      </c>
    </row>
    <row r="19" spans="1:6" ht="18.5" thickBot="1" x14ac:dyDescent="0.6">
      <c r="A19">
        <v>18</v>
      </c>
      <c r="B19" s="2">
        <v>43731.451388831018</v>
      </c>
      <c r="C19">
        <f t="shared" si="0"/>
        <v>-987.04557264115783</v>
      </c>
      <c r="D19" s="3">
        <v>1274.2</v>
      </c>
      <c r="E19">
        <f t="shared" si="1"/>
        <v>287.15442735884221</v>
      </c>
      <c r="F19">
        <f>5000+SUM($E$2:E19)</f>
        <v>5103.8796924591588</v>
      </c>
    </row>
    <row r="20" spans="1:6" ht="18.5" thickBot="1" x14ac:dyDescent="0.6">
      <c r="A20">
        <v>19</v>
      </c>
      <c r="B20" s="2">
        <v>43731.458333275463</v>
      </c>
      <c r="C20">
        <f t="shared" si="0"/>
        <v>-987.04557264115783</v>
      </c>
      <c r="D20" s="3">
        <v>1292.0999999999999</v>
      </c>
      <c r="E20">
        <f t="shared" si="1"/>
        <v>305.05442735884208</v>
      </c>
      <c r="F20">
        <f>5000+SUM($E$2:E20)</f>
        <v>5408.9341198180009</v>
      </c>
    </row>
    <row r="21" spans="1:6" ht="18.5" thickBot="1" x14ac:dyDescent="0.6">
      <c r="A21">
        <v>20</v>
      </c>
      <c r="B21" s="2">
        <v>43731.465277719908</v>
      </c>
      <c r="C21">
        <f t="shared" si="0"/>
        <v>-987.04557264115783</v>
      </c>
      <c r="D21" s="3">
        <v>1307.2</v>
      </c>
      <c r="E21">
        <f t="shared" si="1"/>
        <v>320.15442735884221</v>
      </c>
      <c r="F21">
        <f>5000+SUM($E$2:E21)</f>
        <v>5729.0885471768433</v>
      </c>
    </row>
    <row r="22" spans="1:6" ht="18.5" thickBot="1" x14ac:dyDescent="0.6">
      <c r="A22">
        <v>21</v>
      </c>
      <c r="B22" s="2">
        <v>43731.472222164353</v>
      </c>
      <c r="C22">
        <f t="shared" si="0"/>
        <v>-987.04557264115783</v>
      </c>
      <c r="D22" s="3">
        <v>1319.6</v>
      </c>
      <c r="E22">
        <f t="shared" si="1"/>
        <v>332.55442735884208</v>
      </c>
      <c r="F22">
        <f>5000+SUM($E$2:E22)</f>
        <v>6061.6429745356854</v>
      </c>
    </row>
    <row r="23" spans="1:6" ht="18.5" thickBot="1" x14ac:dyDescent="0.6">
      <c r="A23">
        <v>22</v>
      </c>
      <c r="B23" s="2">
        <v>43731.479166608799</v>
      </c>
      <c r="C23">
        <f t="shared" si="0"/>
        <v>-987.04557264115783</v>
      </c>
      <c r="D23" s="3">
        <v>1329.3</v>
      </c>
      <c r="E23">
        <f t="shared" si="1"/>
        <v>342.25442735884212</v>
      </c>
      <c r="F23">
        <f>5000+SUM($E$2:E23)</f>
        <v>6403.8974018945273</v>
      </c>
    </row>
    <row r="24" spans="1:6" ht="18.5" thickBot="1" x14ac:dyDescent="0.6">
      <c r="A24">
        <v>23</v>
      </c>
      <c r="B24" s="2">
        <v>43731.486111053244</v>
      </c>
      <c r="C24">
        <f t="shared" si="0"/>
        <v>-987.04557264115783</v>
      </c>
      <c r="D24" s="3">
        <v>1336.3</v>
      </c>
      <c r="E24">
        <f t="shared" si="1"/>
        <v>349.25442735884212</v>
      </c>
      <c r="F24">
        <f>5000+SUM($E$2:E24)</f>
        <v>6753.1518292533692</v>
      </c>
    </row>
    <row r="25" spans="1:6" ht="18.5" thickBot="1" x14ac:dyDescent="0.6">
      <c r="A25">
        <v>24</v>
      </c>
      <c r="B25" s="2">
        <v>43731.493055497682</v>
      </c>
      <c r="C25">
        <f t="shared" si="0"/>
        <v>-987.04557264115783</v>
      </c>
      <c r="D25" s="3">
        <v>1340.5</v>
      </c>
      <c r="E25">
        <f t="shared" si="1"/>
        <v>353.45442735884217</v>
      </c>
      <c r="F25">
        <f>5000+SUM($E$2:E25)</f>
        <v>7106.6062566122118</v>
      </c>
    </row>
    <row r="26" spans="1:6" ht="18.5" thickBot="1" x14ac:dyDescent="0.6">
      <c r="A26">
        <v>25</v>
      </c>
      <c r="B26" s="2">
        <v>43731.499999942127</v>
      </c>
      <c r="C26">
        <f t="shared" si="0"/>
        <v>-987.04557264115783</v>
      </c>
      <c r="D26" s="3">
        <v>1341.8</v>
      </c>
      <c r="E26">
        <f t="shared" si="1"/>
        <v>354.75442735884212</v>
      </c>
      <c r="F26">
        <f>5000+SUM($E$2:E26)</f>
        <v>7461.3606839710537</v>
      </c>
    </row>
    <row r="27" spans="1:6" ht="18.5" thickBot="1" x14ac:dyDescent="0.6">
      <c r="A27">
        <v>26</v>
      </c>
      <c r="B27" s="2">
        <v>43731.506944386572</v>
      </c>
      <c r="C27">
        <f t="shared" si="0"/>
        <v>-987.04557264115783</v>
      </c>
      <c r="D27" s="3">
        <v>1340.5</v>
      </c>
      <c r="E27">
        <f t="shared" si="1"/>
        <v>353.45442735884217</v>
      </c>
      <c r="F27">
        <f>5000+SUM($E$2:E27)</f>
        <v>7814.8151113298954</v>
      </c>
    </row>
    <row r="28" spans="1:6" ht="18.5" thickBot="1" x14ac:dyDescent="0.6">
      <c r="A28">
        <v>27</v>
      </c>
      <c r="B28" s="2">
        <v>43731.513888831018</v>
      </c>
      <c r="C28">
        <f t="shared" si="0"/>
        <v>-987.04557264115783</v>
      </c>
      <c r="D28" s="3">
        <v>1336.3</v>
      </c>
      <c r="E28">
        <f t="shared" si="1"/>
        <v>349.25442735884212</v>
      </c>
      <c r="F28">
        <f>5000+SUM($E$2:E28)</f>
        <v>8164.0695386887382</v>
      </c>
    </row>
    <row r="29" spans="1:6" ht="18.5" thickBot="1" x14ac:dyDescent="0.6">
      <c r="A29">
        <v>28</v>
      </c>
      <c r="B29" s="2">
        <v>43731.520833275463</v>
      </c>
      <c r="C29">
        <f t="shared" si="0"/>
        <v>-987.04557264115783</v>
      </c>
      <c r="D29" s="3">
        <v>1329.3</v>
      </c>
      <c r="E29">
        <f t="shared" si="1"/>
        <v>342.25442735884212</v>
      </c>
      <c r="F29">
        <f>5000+SUM($E$2:E29)</f>
        <v>8506.3239660475811</v>
      </c>
    </row>
    <row r="30" spans="1:6" ht="18.5" thickBot="1" x14ac:dyDescent="0.6">
      <c r="A30">
        <v>29</v>
      </c>
      <c r="B30" s="2">
        <v>43731.527777719908</v>
      </c>
      <c r="C30">
        <f t="shared" si="0"/>
        <v>-987.04557264115783</v>
      </c>
      <c r="D30" s="3">
        <v>1319.7</v>
      </c>
      <c r="E30">
        <f t="shared" si="1"/>
        <v>332.65442735884221</v>
      </c>
      <c r="F30">
        <f>5000+SUM($E$2:E30)</f>
        <v>8838.9783934064217</v>
      </c>
    </row>
    <row r="31" spans="1:6" ht="18.5" thickBot="1" x14ac:dyDescent="0.6">
      <c r="A31">
        <v>30</v>
      </c>
      <c r="B31" s="2">
        <v>43731.534722164353</v>
      </c>
      <c r="C31">
        <f t="shared" si="0"/>
        <v>-987.04557264115783</v>
      </c>
      <c r="D31" s="3">
        <v>1307.2</v>
      </c>
      <c r="E31">
        <f t="shared" si="1"/>
        <v>320.15442735884221</v>
      </c>
      <c r="F31">
        <f>5000+SUM($E$2:E31)</f>
        <v>9159.1328207652659</v>
      </c>
    </row>
    <row r="32" spans="1:6" ht="18.5" thickBot="1" x14ac:dyDescent="0.6">
      <c r="A32">
        <v>31</v>
      </c>
      <c r="B32" s="2">
        <v>43731.541666608799</v>
      </c>
      <c r="C32">
        <f t="shared" si="0"/>
        <v>-987.04557264115783</v>
      </c>
      <c r="D32" s="3">
        <v>1292.0999999999999</v>
      </c>
      <c r="E32">
        <f t="shared" si="1"/>
        <v>305.05442735884208</v>
      </c>
      <c r="F32">
        <f>5000+SUM($E$2:E32)</f>
        <v>9464.187248124108</v>
      </c>
    </row>
    <row r="33" spans="1:6" ht="18.5" thickBot="1" x14ac:dyDescent="0.6">
      <c r="A33">
        <v>32</v>
      </c>
      <c r="B33" s="2">
        <v>43731.548611053244</v>
      </c>
      <c r="C33">
        <f t="shared" si="0"/>
        <v>-987.04557264115783</v>
      </c>
      <c r="D33" s="3">
        <v>1274.3</v>
      </c>
      <c r="E33">
        <f t="shared" si="1"/>
        <v>287.25442735884212</v>
      </c>
      <c r="F33">
        <f>5000+SUM($E$2:E33)</f>
        <v>9751.441675482949</v>
      </c>
    </row>
    <row r="34" spans="1:6" ht="18.5" thickBot="1" x14ac:dyDescent="0.6">
      <c r="A34">
        <v>33</v>
      </c>
      <c r="B34" s="2">
        <v>43731.555555497682</v>
      </c>
      <c r="C34">
        <f t="shared" si="0"/>
        <v>-987.04557264115783</v>
      </c>
      <c r="D34" s="3">
        <v>1253.8</v>
      </c>
      <c r="E34">
        <f t="shared" si="1"/>
        <v>266.75442735884212</v>
      </c>
      <c r="F34">
        <f>5000+SUM($E$2:E34)</f>
        <v>10018.19610284179</v>
      </c>
    </row>
    <row r="35" spans="1:6" ht="18.5" thickBot="1" x14ac:dyDescent="0.6">
      <c r="A35">
        <v>34</v>
      </c>
      <c r="B35" s="2">
        <v>43731.562499942127</v>
      </c>
      <c r="C35">
        <f t="shared" si="0"/>
        <v>-987.04557264115783</v>
      </c>
      <c r="D35" s="3">
        <v>1230.7</v>
      </c>
      <c r="E35">
        <f t="shared" si="1"/>
        <v>243.65442735884221</v>
      </c>
      <c r="F35">
        <f>5000+SUM($E$2:E35)</f>
        <v>10261.850530200634</v>
      </c>
    </row>
    <row r="36" spans="1:6" ht="18.5" thickBot="1" x14ac:dyDescent="0.6">
      <c r="A36">
        <v>35</v>
      </c>
      <c r="B36" s="2">
        <v>43731.569444386572</v>
      </c>
      <c r="C36">
        <f t="shared" si="0"/>
        <v>-987.04557264115783</v>
      </c>
      <c r="D36" s="3">
        <v>1205.0999999999999</v>
      </c>
      <c r="E36">
        <f t="shared" si="1"/>
        <v>218.05442735884208</v>
      </c>
      <c r="F36">
        <f>5000+SUM($E$2:E36)</f>
        <v>10479.904957559476</v>
      </c>
    </row>
    <row r="37" spans="1:6" ht="18.5" thickBot="1" x14ac:dyDescent="0.6">
      <c r="A37">
        <v>36</v>
      </c>
      <c r="B37" s="2">
        <v>43731.576388831018</v>
      </c>
      <c r="C37">
        <f t="shared" si="0"/>
        <v>-987.04557264115783</v>
      </c>
      <c r="D37" s="3">
        <v>1176.9000000000001</v>
      </c>
      <c r="E37">
        <f t="shared" si="1"/>
        <v>189.85442735884226</v>
      </c>
      <c r="F37">
        <f>5000+SUM($E$2:E37)</f>
        <v>10669.759384918318</v>
      </c>
    </row>
    <row r="38" spans="1:6" ht="18.5" thickBot="1" x14ac:dyDescent="0.6">
      <c r="A38">
        <v>37</v>
      </c>
      <c r="B38" s="2">
        <v>43731.583333275463</v>
      </c>
      <c r="C38">
        <f t="shared" si="0"/>
        <v>-987.04557264115783</v>
      </c>
      <c r="D38" s="3">
        <v>1146.4000000000001</v>
      </c>
      <c r="E38">
        <f t="shared" si="1"/>
        <v>159.35442735884226</v>
      </c>
      <c r="F38">
        <f>5000+SUM($E$2:E38)</f>
        <v>10829.113812277159</v>
      </c>
    </row>
    <row r="39" spans="1:6" ht="18.5" thickBot="1" x14ac:dyDescent="0.6">
      <c r="A39">
        <v>38</v>
      </c>
      <c r="B39" s="2">
        <v>43731.590277719908</v>
      </c>
      <c r="C39">
        <f t="shared" si="0"/>
        <v>-987.04557264115783</v>
      </c>
      <c r="D39" s="3">
        <v>1113.4000000000001</v>
      </c>
      <c r="E39">
        <f t="shared" si="1"/>
        <v>126.35442735884226</v>
      </c>
      <c r="F39">
        <f>5000+SUM($E$2:E39)</f>
        <v>10955.468239636002</v>
      </c>
    </row>
    <row r="40" spans="1:6" ht="18.5" thickBot="1" x14ac:dyDescent="0.6">
      <c r="A40">
        <v>39</v>
      </c>
      <c r="B40" s="2">
        <v>43731.597222164353</v>
      </c>
      <c r="C40">
        <f t="shared" si="0"/>
        <v>-987.04557264115783</v>
      </c>
      <c r="D40" s="3">
        <v>1078.0999999999999</v>
      </c>
      <c r="E40">
        <f t="shared" si="1"/>
        <v>91.054427358842077</v>
      </c>
      <c r="F40">
        <f>5000+SUM($E$2:E40)</f>
        <v>11046.522666994844</v>
      </c>
    </row>
    <row r="41" spans="1:6" ht="18.5" thickBot="1" x14ac:dyDescent="0.6">
      <c r="A41">
        <v>40</v>
      </c>
      <c r="B41" s="2">
        <v>43731.604166608799</v>
      </c>
      <c r="C41">
        <f t="shared" si="0"/>
        <v>-987.04557264115783</v>
      </c>
      <c r="D41" s="3">
        <v>1040.5999999999999</v>
      </c>
      <c r="E41">
        <f t="shared" si="1"/>
        <v>53.554427358842077</v>
      </c>
      <c r="F41">
        <f>5000+SUM($E$2:E41)</f>
        <v>11100.077094353686</v>
      </c>
    </row>
    <row r="42" spans="1:6" ht="18.5" thickBot="1" x14ac:dyDescent="0.6">
      <c r="A42">
        <v>41</v>
      </c>
      <c r="B42" s="2">
        <v>43731.611111053244</v>
      </c>
      <c r="C42">
        <f t="shared" si="0"/>
        <v>-987.04557264115783</v>
      </c>
      <c r="D42" s="3">
        <v>1000.9</v>
      </c>
      <c r="E42">
        <f t="shared" si="1"/>
        <v>13.854427358842145</v>
      </c>
      <c r="F42">
        <f>5000+SUM($E$2:E42)</f>
        <v>11113.93152171253</v>
      </c>
    </row>
    <row r="43" spans="1:6" ht="18.5" thickBot="1" x14ac:dyDescent="0.6">
      <c r="A43">
        <v>42</v>
      </c>
      <c r="B43" s="2">
        <v>43731.618055497682</v>
      </c>
      <c r="C43">
        <f t="shared" si="0"/>
        <v>-987.04557264115783</v>
      </c>
      <c r="D43" s="3">
        <v>959.1</v>
      </c>
      <c r="E43">
        <f t="shared" si="1"/>
        <v>-27.94557264115781</v>
      </c>
      <c r="F43">
        <f>5000+SUM($E$2:E43)</f>
        <v>11085.985949071372</v>
      </c>
    </row>
    <row r="44" spans="1:6" ht="18.5" thickBot="1" x14ac:dyDescent="0.6">
      <c r="A44">
        <v>43</v>
      </c>
      <c r="B44" s="2">
        <v>43731.624999942127</v>
      </c>
      <c r="C44">
        <f t="shared" si="0"/>
        <v>-987.04557264115783</v>
      </c>
      <c r="D44" s="3">
        <v>915.4</v>
      </c>
      <c r="E44">
        <f t="shared" si="1"/>
        <v>-71.645572641157855</v>
      </c>
      <c r="F44">
        <f>5000+SUM($E$2:E44)</f>
        <v>11014.340376430213</v>
      </c>
    </row>
    <row r="45" spans="1:6" ht="18.5" thickBot="1" x14ac:dyDescent="0.6">
      <c r="A45">
        <v>44</v>
      </c>
      <c r="B45" s="2">
        <v>43731.631944386572</v>
      </c>
      <c r="C45">
        <f t="shared" si="0"/>
        <v>-987.04557264115783</v>
      </c>
      <c r="D45" s="3">
        <v>869.8</v>
      </c>
      <c r="E45">
        <f t="shared" si="1"/>
        <v>-117.24557264115788</v>
      </c>
      <c r="F45">
        <f>5000+SUM($E$2:E45)</f>
        <v>10897.094803789056</v>
      </c>
    </row>
    <row r="46" spans="1:6" ht="18.5" thickBot="1" x14ac:dyDescent="0.6">
      <c r="A46">
        <v>45</v>
      </c>
      <c r="B46" s="2">
        <v>43731.638888831018</v>
      </c>
      <c r="C46">
        <f t="shared" si="0"/>
        <v>-987.04557264115783</v>
      </c>
      <c r="D46" s="3">
        <v>822.4</v>
      </c>
      <c r="E46">
        <f t="shared" si="1"/>
        <v>-164.64557264115786</v>
      </c>
      <c r="F46">
        <f>5000+SUM($E$2:E46)</f>
        <v>10732.449231147897</v>
      </c>
    </row>
    <row r="47" spans="1:6" ht="18.5" thickBot="1" x14ac:dyDescent="0.6">
      <c r="A47">
        <v>46</v>
      </c>
      <c r="B47" s="2">
        <v>43731.645833275463</v>
      </c>
      <c r="C47">
        <f t="shared" si="0"/>
        <v>-987.04557264115783</v>
      </c>
      <c r="D47" s="3">
        <v>773.4</v>
      </c>
      <c r="E47">
        <f t="shared" si="1"/>
        <v>-213.64557264115786</v>
      </c>
      <c r="F47">
        <f>5000+SUM($E$2:E47)</f>
        <v>10518.803658506738</v>
      </c>
    </row>
    <row r="48" spans="1:6" ht="18.5" thickBot="1" x14ac:dyDescent="0.6">
      <c r="A48">
        <v>47</v>
      </c>
      <c r="B48" s="2">
        <v>43731.652777719908</v>
      </c>
      <c r="C48">
        <f t="shared" si="0"/>
        <v>-987.04557264115783</v>
      </c>
      <c r="D48" s="3">
        <v>722.8</v>
      </c>
      <c r="E48">
        <f t="shared" si="1"/>
        <v>-264.24557264115788</v>
      </c>
      <c r="F48">
        <f>5000+SUM($E$2:E48)</f>
        <v>10254.558085865581</v>
      </c>
    </row>
    <row r="49" spans="1:12" ht="18.5" thickBot="1" x14ac:dyDescent="0.6">
      <c r="A49">
        <v>48</v>
      </c>
      <c r="B49" s="2">
        <v>43731.659722164353</v>
      </c>
      <c r="C49">
        <f t="shared" si="0"/>
        <v>-987.04557264115783</v>
      </c>
      <c r="D49" s="3">
        <v>670.8</v>
      </c>
      <c r="E49">
        <f t="shared" si="1"/>
        <v>-316.24557264115788</v>
      </c>
      <c r="F49">
        <f>5000+SUM($E$2:E49)</f>
        <v>9938.312513224424</v>
      </c>
    </row>
    <row r="50" spans="1:12" ht="18.5" thickBot="1" x14ac:dyDescent="0.6">
      <c r="A50">
        <v>49</v>
      </c>
      <c r="B50" s="2">
        <v>43731.666666608799</v>
      </c>
      <c r="C50">
        <f t="shared" si="0"/>
        <v>-987.04557264115783</v>
      </c>
      <c r="D50" s="3">
        <v>617.5</v>
      </c>
      <c r="E50">
        <f t="shared" si="1"/>
        <v>-369.54557264115783</v>
      </c>
      <c r="F50">
        <f>5000+SUM($E$2:E50)</f>
        <v>9568.7669405832658</v>
      </c>
    </row>
    <row r="51" spans="1:12" ht="18.5" thickBot="1" x14ac:dyDescent="0.6">
      <c r="A51">
        <v>50</v>
      </c>
      <c r="B51" s="2">
        <v>43731.673611053244</v>
      </c>
      <c r="C51">
        <f t="shared" si="0"/>
        <v>-987.04557264115783</v>
      </c>
      <c r="D51" s="3">
        <v>563.20000000000005</v>
      </c>
      <c r="E51">
        <f t="shared" si="1"/>
        <v>-423.84557264115779</v>
      </c>
      <c r="F51">
        <f>5000+SUM($E$2:E51)</f>
        <v>9144.9213679421082</v>
      </c>
    </row>
    <row r="52" spans="1:12" ht="18.5" thickBot="1" x14ac:dyDescent="0.6">
      <c r="A52">
        <v>51</v>
      </c>
      <c r="B52" s="2">
        <v>43731.680555497682</v>
      </c>
      <c r="C52">
        <f t="shared" si="0"/>
        <v>-987.04557264115783</v>
      </c>
      <c r="D52" s="3">
        <v>507.9</v>
      </c>
      <c r="E52">
        <f t="shared" si="1"/>
        <v>-479.14557264115786</v>
      </c>
      <c r="F52">
        <f>5000+SUM($E$2:E52)</f>
        <v>8665.7757953009495</v>
      </c>
    </row>
    <row r="53" spans="1:12" ht="18.5" thickBot="1" x14ac:dyDescent="0.6">
      <c r="A53">
        <v>52</v>
      </c>
      <c r="B53" s="2">
        <v>43731.687499942127</v>
      </c>
      <c r="C53">
        <f t="shared" si="0"/>
        <v>-987.04557264115783</v>
      </c>
      <c r="D53" s="3">
        <v>452</v>
      </c>
      <c r="E53">
        <f t="shared" si="1"/>
        <v>-535.04557264115783</v>
      </c>
      <c r="F53">
        <f>5000+SUM($E$2:E53)</f>
        <v>8130.7302226597931</v>
      </c>
    </row>
    <row r="54" spans="1:12" ht="18.5" thickBot="1" x14ac:dyDescent="0.6">
      <c r="A54">
        <v>53</v>
      </c>
      <c r="B54" s="2">
        <v>43731.694444386572</v>
      </c>
      <c r="C54">
        <f t="shared" si="0"/>
        <v>-987.04557264115783</v>
      </c>
      <c r="D54" s="3">
        <v>395.5</v>
      </c>
      <c r="E54">
        <f t="shared" si="1"/>
        <v>-591.54557264115783</v>
      </c>
      <c r="F54">
        <f>5000+SUM($E$2:E54)</f>
        <v>7539.1846500186348</v>
      </c>
    </row>
    <row r="55" spans="1:12" ht="18.5" thickBot="1" x14ac:dyDescent="0.6">
      <c r="A55">
        <v>54</v>
      </c>
      <c r="B55" s="2">
        <v>43731.701388831018</v>
      </c>
      <c r="C55">
        <f t="shared" si="0"/>
        <v>-987.04557264115783</v>
      </c>
      <c r="D55" s="3">
        <v>339</v>
      </c>
      <c r="E55">
        <f t="shared" si="1"/>
        <v>-648.04557264115783</v>
      </c>
      <c r="F55">
        <f>5000+SUM($E$2:E55)</f>
        <v>6891.1390773774765</v>
      </c>
    </row>
    <row r="56" spans="1:12" ht="18.5" thickBot="1" x14ac:dyDescent="0.6">
      <c r="A56">
        <v>55</v>
      </c>
      <c r="B56" s="2">
        <v>43731.708333275463</v>
      </c>
      <c r="C56">
        <f t="shared" si="0"/>
        <v>-987.04557264115783</v>
      </c>
      <c r="D56" s="3">
        <v>282.7</v>
      </c>
      <c r="E56">
        <f t="shared" si="1"/>
        <v>-704.34557264115779</v>
      </c>
      <c r="F56">
        <f>5000+SUM($E$2:E56)</f>
        <v>6186.7935047363189</v>
      </c>
    </row>
    <row r="57" spans="1:12" ht="18.5" thickBot="1" x14ac:dyDescent="0.6">
      <c r="A57">
        <v>1</v>
      </c>
      <c r="B57" s="2">
        <v>43732.333333333336</v>
      </c>
      <c r="C57">
        <f t="shared" si="0"/>
        <v>-987.04557264115783</v>
      </c>
      <c r="D57" s="3">
        <v>370.5</v>
      </c>
      <c r="E57">
        <f>D57+C57</f>
        <v>-616.54557264115783</v>
      </c>
      <c r="F57">
        <f>$L$2+SUM($E$2:E57)</f>
        <v>570.24793209516133</v>
      </c>
      <c r="G57">
        <v>70</v>
      </c>
      <c r="H57">
        <v>755.03563938583954</v>
      </c>
      <c r="I57" s="10" t="s">
        <v>6</v>
      </c>
      <c r="J57" s="11" t="s">
        <v>16</v>
      </c>
      <c r="K57" s="12" t="s">
        <v>17</v>
      </c>
      <c r="L57">
        <v>6186.7935047363189</v>
      </c>
    </row>
    <row r="58" spans="1:12" ht="18.5" thickBot="1" x14ac:dyDescent="0.6">
      <c r="A58">
        <v>2</v>
      </c>
      <c r="B58" s="2">
        <v>43732.340277777781</v>
      </c>
      <c r="C58">
        <f t="shared" si="0"/>
        <v>-987.04557264115783</v>
      </c>
      <c r="D58" s="3">
        <v>402.42</v>
      </c>
      <c r="E58">
        <f t="shared" ref="E58:E111" si="2">D58+C58</f>
        <v>-584.62557264115776</v>
      </c>
      <c r="F58">
        <f>$L$2+SUM($E$2:E58)</f>
        <v>-14.377640545996428</v>
      </c>
      <c r="I58" s="8" t="s">
        <v>7</v>
      </c>
      <c r="J58" s="9" t="s">
        <v>13</v>
      </c>
    </row>
    <row r="59" spans="1:12" ht="18.5" thickBot="1" x14ac:dyDescent="0.6">
      <c r="A59">
        <v>3</v>
      </c>
      <c r="B59" s="2">
        <v>43732.347222222219</v>
      </c>
      <c r="C59">
        <f t="shared" si="0"/>
        <v>-987.04557264115783</v>
      </c>
      <c r="D59" s="3">
        <v>433.62</v>
      </c>
      <c r="E59">
        <f>D59+C59</f>
        <v>-553.42557264115783</v>
      </c>
      <c r="F59">
        <f>$L$2+SUM($E$2:E59)</f>
        <v>-567.80321318715426</v>
      </c>
      <c r="I59" s="4" t="s">
        <v>14</v>
      </c>
      <c r="J59" s="5" t="s">
        <v>15</v>
      </c>
    </row>
    <row r="60" spans="1:12" ht="18.5" thickBot="1" x14ac:dyDescent="0.6">
      <c r="A60">
        <v>4</v>
      </c>
      <c r="B60" s="2">
        <v>43732.354166666664</v>
      </c>
      <c r="C60">
        <f t="shared" si="0"/>
        <v>-987.04557264115783</v>
      </c>
      <c r="D60" s="3">
        <v>463.97999999999996</v>
      </c>
      <c r="E60">
        <f t="shared" si="2"/>
        <v>-523.06557264115781</v>
      </c>
      <c r="F60">
        <f>$L$2+SUM($E$2:E60)</f>
        <v>-1090.868785828312</v>
      </c>
    </row>
    <row r="61" spans="1:12" ht="18.5" thickBot="1" x14ac:dyDescent="0.6">
      <c r="A61">
        <v>5</v>
      </c>
      <c r="B61" s="2">
        <v>43732.361111111109</v>
      </c>
      <c r="C61">
        <f t="shared" si="0"/>
        <v>-987.04557264115783</v>
      </c>
      <c r="D61" s="3">
        <v>493.43999999999994</v>
      </c>
      <c r="E61">
        <f t="shared" si="2"/>
        <v>-493.60557264115789</v>
      </c>
      <c r="F61">
        <f>$L$2+SUM($E$2:E61)</f>
        <v>-1584.4743584694697</v>
      </c>
    </row>
    <row r="62" spans="1:12" ht="18.5" thickBot="1" x14ac:dyDescent="0.6">
      <c r="A62">
        <v>6</v>
      </c>
      <c r="B62" s="2">
        <v>43732.368055555555</v>
      </c>
      <c r="C62">
        <f t="shared" si="0"/>
        <v>-987.04557264115783</v>
      </c>
      <c r="D62" s="3">
        <v>521.88</v>
      </c>
      <c r="E62">
        <f t="shared" si="2"/>
        <v>-465.16557264115784</v>
      </c>
      <c r="F62">
        <f>$L$2+SUM($E$2:E62)</f>
        <v>-2049.6399311106275</v>
      </c>
    </row>
    <row r="63" spans="1:12" ht="18.5" thickBot="1" x14ac:dyDescent="0.6">
      <c r="A63">
        <v>7</v>
      </c>
      <c r="B63" s="2">
        <v>43732.374999942127</v>
      </c>
      <c r="C63">
        <f t="shared" si="0"/>
        <v>-987.04557264115783</v>
      </c>
      <c r="D63" s="3">
        <v>549.24</v>
      </c>
      <c r="E63">
        <f t="shared" si="2"/>
        <v>-437.80557264115782</v>
      </c>
      <c r="F63">
        <f>$L$2+SUM($E$2:E63)</f>
        <v>-2487.4455037517855</v>
      </c>
    </row>
    <row r="64" spans="1:12" ht="18.5" thickBot="1" x14ac:dyDescent="0.6">
      <c r="A64">
        <v>8</v>
      </c>
      <c r="B64" s="2">
        <v>43732.381944386572</v>
      </c>
      <c r="C64">
        <f t="shared" si="0"/>
        <v>-987.04557264115783</v>
      </c>
      <c r="D64" s="3">
        <v>575.46</v>
      </c>
      <c r="E64">
        <f t="shared" si="2"/>
        <v>-411.5855726411578</v>
      </c>
      <c r="F64">
        <f>$L$2+SUM($E$2:E64)</f>
        <v>-2899.0310763929433</v>
      </c>
    </row>
    <row r="65" spans="1:6" ht="18.5" thickBot="1" x14ac:dyDescent="0.6">
      <c r="A65">
        <v>9</v>
      </c>
      <c r="B65" s="2">
        <v>43732.388888831018</v>
      </c>
      <c r="C65">
        <f t="shared" si="0"/>
        <v>-987.04557264115783</v>
      </c>
      <c r="D65" s="3">
        <v>600.54</v>
      </c>
      <c r="E65">
        <f t="shared" si="2"/>
        <v>-386.50557264115787</v>
      </c>
      <c r="F65">
        <f>$L$2+SUM($E$2:E65)</f>
        <v>-3285.5366490341012</v>
      </c>
    </row>
    <row r="66" spans="1:6" ht="18.5" thickBot="1" x14ac:dyDescent="0.6">
      <c r="A66">
        <v>10</v>
      </c>
      <c r="B66" s="2">
        <v>43732.395833275463</v>
      </c>
      <c r="C66">
        <f t="shared" ref="C66:C111" si="3">-$H$2</f>
        <v>-987.04557264115783</v>
      </c>
      <c r="D66" s="3">
        <v>624.29999999999995</v>
      </c>
      <c r="E66">
        <f t="shared" si="2"/>
        <v>-362.74557264115788</v>
      </c>
      <c r="F66">
        <f>$L$2+SUM($E$2:E66)</f>
        <v>-3648.2822216752593</v>
      </c>
    </row>
    <row r="67" spans="1:6" ht="18.5" thickBot="1" x14ac:dyDescent="0.6">
      <c r="A67">
        <v>11</v>
      </c>
      <c r="B67" s="2">
        <v>43732.402777719908</v>
      </c>
      <c r="C67">
        <f t="shared" si="3"/>
        <v>-987.04557264115783</v>
      </c>
      <c r="D67" s="3">
        <v>646.8599999999999</v>
      </c>
      <c r="E67">
        <f t="shared" si="2"/>
        <v>-340.18557264115793</v>
      </c>
      <c r="F67">
        <f>$L$2+SUM($E$2:E67)</f>
        <v>-3988.467794316417</v>
      </c>
    </row>
    <row r="68" spans="1:6" ht="18.5" thickBot="1" x14ac:dyDescent="0.6">
      <c r="A68">
        <v>12</v>
      </c>
      <c r="B68" s="2">
        <v>43732.409722164353</v>
      </c>
      <c r="C68">
        <f t="shared" si="3"/>
        <v>-987.04557264115783</v>
      </c>
      <c r="D68" s="3">
        <v>668.04000000000008</v>
      </c>
      <c r="E68">
        <f t="shared" si="2"/>
        <v>-319.00557264115776</v>
      </c>
      <c r="F68">
        <f>$L$2+SUM($E$2:E68)</f>
        <v>-4307.4733669575744</v>
      </c>
    </row>
    <row r="69" spans="1:6" ht="18.5" thickBot="1" x14ac:dyDescent="0.6">
      <c r="A69">
        <v>13</v>
      </c>
      <c r="B69" s="2">
        <v>43732.416666608799</v>
      </c>
      <c r="C69">
        <f t="shared" si="3"/>
        <v>-987.04557264115783</v>
      </c>
      <c r="D69" s="3">
        <v>687.78</v>
      </c>
      <c r="E69">
        <f t="shared" si="2"/>
        <v>-299.26557264115786</v>
      </c>
      <c r="F69">
        <f>$L$2+SUM($E$2:E69)</f>
        <v>-4606.738939598732</v>
      </c>
    </row>
    <row r="70" spans="1:6" ht="18.5" thickBot="1" x14ac:dyDescent="0.6">
      <c r="A70">
        <v>14</v>
      </c>
      <c r="B70" s="2">
        <v>43732.423611053244</v>
      </c>
      <c r="C70">
        <f t="shared" si="3"/>
        <v>-987.04557264115783</v>
      </c>
      <c r="D70" s="3">
        <v>706.14</v>
      </c>
      <c r="E70">
        <f t="shared" si="2"/>
        <v>-280.90557264115785</v>
      </c>
      <c r="F70">
        <f>$L$2+SUM($E$2:E70)</f>
        <v>-4887.64451223989</v>
      </c>
    </row>
    <row r="71" spans="1:6" ht="18.5" thickBot="1" x14ac:dyDescent="0.6">
      <c r="A71">
        <v>15</v>
      </c>
      <c r="B71" s="2">
        <v>43732.430555497682</v>
      </c>
      <c r="C71">
        <f t="shared" si="3"/>
        <v>-987.04557264115783</v>
      </c>
      <c r="D71" s="3">
        <v>723</v>
      </c>
      <c r="E71">
        <f t="shared" si="2"/>
        <v>-264.04557264115783</v>
      </c>
      <c r="F71">
        <f>$L$2+SUM($E$2:E71)</f>
        <v>-5151.6900848810474</v>
      </c>
    </row>
    <row r="72" spans="1:6" ht="18.5" thickBot="1" x14ac:dyDescent="0.6">
      <c r="A72">
        <v>16</v>
      </c>
      <c r="B72" s="2">
        <v>43732.437499942127</v>
      </c>
      <c r="C72">
        <f t="shared" si="3"/>
        <v>-987.04557264115783</v>
      </c>
      <c r="D72" s="3">
        <v>738.42</v>
      </c>
      <c r="E72">
        <f t="shared" si="2"/>
        <v>-248.62557264115787</v>
      </c>
      <c r="F72">
        <f>$L$2+SUM($E$2:E72)</f>
        <v>-5400.3156575222056</v>
      </c>
    </row>
    <row r="73" spans="1:6" ht="18.5" thickBot="1" x14ac:dyDescent="0.6">
      <c r="A73">
        <v>17</v>
      </c>
      <c r="B73" s="2">
        <v>43732.444444386572</v>
      </c>
      <c r="C73">
        <f t="shared" si="3"/>
        <v>-987.04557264115783</v>
      </c>
      <c r="D73" s="3">
        <v>752.28</v>
      </c>
      <c r="E73">
        <f t="shared" si="2"/>
        <v>-234.76557264115786</v>
      </c>
      <c r="F73">
        <f>$L$2+SUM($E$2:E73)</f>
        <v>-5635.0812301633632</v>
      </c>
    </row>
    <row r="74" spans="1:6" ht="18.5" thickBot="1" x14ac:dyDescent="0.6">
      <c r="A74">
        <v>18</v>
      </c>
      <c r="B74" s="2">
        <v>43732.451388831018</v>
      </c>
      <c r="C74">
        <f t="shared" si="3"/>
        <v>-987.04557264115783</v>
      </c>
      <c r="D74" s="3">
        <v>764.52</v>
      </c>
      <c r="E74">
        <f t="shared" si="2"/>
        <v>-222.52557264115785</v>
      </c>
      <c r="F74">
        <f>$L$2+SUM($E$2:E74)</f>
        <v>-5857.6068028045211</v>
      </c>
    </row>
    <row r="75" spans="1:6" ht="18.5" thickBot="1" x14ac:dyDescent="0.6">
      <c r="A75">
        <v>19</v>
      </c>
      <c r="B75" s="2">
        <v>43732.458333275463</v>
      </c>
      <c r="C75">
        <f t="shared" si="3"/>
        <v>-987.04557264115783</v>
      </c>
      <c r="D75" s="3">
        <v>775.25999999999988</v>
      </c>
      <c r="E75">
        <f t="shared" si="2"/>
        <v>-211.78557264115796</v>
      </c>
      <c r="F75">
        <f>$L$2+SUM($E$2:E75)</f>
        <v>-6069.3923754456791</v>
      </c>
    </row>
    <row r="76" spans="1:6" ht="18.5" thickBot="1" x14ac:dyDescent="0.6">
      <c r="A76">
        <v>20</v>
      </c>
      <c r="B76" s="2">
        <v>43732.465277719908</v>
      </c>
      <c r="C76">
        <f t="shared" si="3"/>
        <v>-987.04557264115783</v>
      </c>
      <c r="D76" s="3">
        <v>784.32</v>
      </c>
      <c r="E76">
        <f t="shared" si="2"/>
        <v>-202.72557264115778</v>
      </c>
      <c r="F76">
        <f>$L$2+SUM($E$2:E76)</f>
        <v>-6272.1179480868368</v>
      </c>
    </row>
    <row r="77" spans="1:6" ht="18.5" thickBot="1" x14ac:dyDescent="0.6">
      <c r="A77">
        <v>21</v>
      </c>
      <c r="B77" s="2">
        <v>43732.472222164353</v>
      </c>
      <c r="C77">
        <f t="shared" si="3"/>
        <v>-987.04557264115783</v>
      </c>
      <c r="D77" s="3">
        <v>791.75999999999988</v>
      </c>
      <c r="E77">
        <f t="shared" si="2"/>
        <v>-195.28557264115796</v>
      </c>
      <c r="F77">
        <f>$L$2+SUM($E$2:E77)</f>
        <v>-6467.4035207279949</v>
      </c>
    </row>
    <row r="78" spans="1:6" ht="18.5" thickBot="1" x14ac:dyDescent="0.6">
      <c r="A78">
        <v>22</v>
      </c>
      <c r="B78" s="2">
        <v>43732.479166608799</v>
      </c>
      <c r="C78">
        <f t="shared" si="3"/>
        <v>-987.04557264115783</v>
      </c>
      <c r="D78" s="3">
        <v>797.57999999999993</v>
      </c>
      <c r="E78">
        <f t="shared" si="2"/>
        <v>-189.46557264115791</v>
      </c>
      <c r="F78">
        <f>$L$2+SUM($E$2:E78)</f>
        <v>-6656.8690933691523</v>
      </c>
    </row>
    <row r="79" spans="1:6" ht="18.5" thickBot="1" x14ac:dyDescent="0.6">
      <c r="A79">
        <v>23</v>
      </c>
      <c r="B79" s="2">
        <v>43732.486111053244</v>
      </c>
      <c r="C79">
        <f t="shared" si="3"/>
        <v>-987.04557264115783</v>
      </c>
      <c r="D79" s="3">
        <v>801.78</v>
      </c>
      <c r="E79">
        <f t="shared" si="2"/>
        <v>-185.26557264115786</v>
      </c>
      <c r="F79">
        <f>$L$2+SUM($E$2:E79)</f>
        <v>-6842.13466601031</v>
      </c>
    </row>
    <row r="80" spans="1:6" ht="18.5" thickBot="1" x14ac:dyDescent="0.6">
      <c r="A80">
        <v>24</v>
      </c>
      <c r="B80" s="2">
        <v>43732.493055497682</v>
      </c>
      <c r="C80">
        <f t="shared" si="3"/>
        <v>-987.04557264115783</v>
      </c>
      <c r="D80" s="3">
        <v>804.3</v>
      </c>
      <c r="E80">
        <f t="shared" si="2"/>
        <v>-182.74557264115788</v>
      </c>
      <c r="F80">
        <f>$L$2+SUM($E$2:E80)</f>
        <v>-7024.8802386514681</v>
      </c>
    </row>
    <row r="81" spans="1:6" ht="18.5" thickBot="1" x14ac:dyDescent="0.6">
      <c r="A81">
        <v>25</v>
      </c>
      <c r="B81" s="2">
        <v>43732.499999942127</v>
      </c>
      <c r="C81">
        <f t="shared" si="3"/>
        <v>-987.04557264115783</v>
      </c>
      <c r="D81" s="3">
        <v>805.07999999999993</v>
      </c>
      <c r="E81">
        <f t="shared" si="2"/>
        <v>-181.96557264115791</v>
      </c>
      <c r="F81">
        <f>$L$2+SUM($E$2:E81)</f>
        <v>-7206.8458112926255</v>
      </c>
    </row>
    <row r="82" spans="1:6" ht="18.5" thickBot="1" x14ac:dyDescent="0.6">
      <c r="A82">
        <v>26</v>
      </c>
      <c r="B82" s="2">
        <v>43732.506944386572</v>
      </c>
      <c r="C82">
        <f t="shared" si="3"/>
        <v>-987.04557264115783</v>
      </c>
      <c r="D82" s="3">
        <v>804.3</v>
      </c>
      <c r="E82">
        <f t="shared" si="2"/>
        <v>-182.74557264115788</v>
      </c>
      <c r="F82">
        <f>$L$2+SUM($E$2:E82)</f>
        <v>-7389.5913839337836</v>
      </c>
    </row>
    <row r="83" spans="1:6" ht="18.5" thickBot="1" x14ac:dyDescent="0.6">
      <c r="A83">
        <v>27</v>
      </c>
      <c r="B83" s="2">
        <v>43732.513888831018</v>
      </c>
      <c r="C83">
        <f t="shared" si="3"/>
        <v>-987.04557264115783</v>
      </c>
      <c r="D83" s="3">
        <v>801.78</v>
      </c>
      <c r="E83">
        <f t="shared" si="2"/>
        <v>-185.26557264115786</v>
      </c>
      <c r="F83">
        <f>$L$2+SUM($E$2:E83)</f>
        <v>-7574.8569565749413</v>
      </c>
    </row>
    <row r="84" spans="1:6" ht="18.5" thickBot="1" x14ac:dyDescent="0.6">
      <c r="A84">
        <v>28</v>
      </c>
      <c r="B84" s="2">
        <v>43732.520833275463</v>
      </c>
      <c r="C84">
        <f t="shared" si="3"/>
        <v>-987.04557264115783</v>
      </c>
      <c r="D84" s="3">
        <v>797.57999999999993</v>
      </c>
      <c r="E84">
        <f t="shared" si="2"/>
        <v>-189.46557264115791</v>
      </c>
      <c r="F84">
        <f>$L$2+SUM($E$2:E84)</f>
        <v>-7764.3225292160987</v>
      </c>
    </row>
    <row r="85" spans="1:6" ht="18.5" thickBot="1" x14ac:dyDescent="0.6">
      <c r="A85">
        <v>29</v>
      </c>
      <c r="B85" s="2">
        <v>43732.527777719908</v>
      </c>
      <c r="C85">
        <f t="shared" si="3"/>
        <v>-987.04557264115783</v>
      </c>
      <c r="D85" s="3">
        <v>791.82</v>
      </c>
      <c r="E85">
        <f t="shared" si="2"/>
        <v>-195.22557264115778</v>
      </c>
      <c r="F85">
        <f>$L$2+SUM($E$2:E85)</f>
        <v>-7959.5481018572564</v>
      </c>
    </row>
    <row r="86" spans="1:6" ht="18.5" thickBot="1" x14ac:dyDescent="0.6">
      <c r="A86">
        <v>30</v>
      </c>
      <c r="B86" s="2">
        <v>43732.534722164353</v>
      </c>
      <c r="C86">
        <f t="shared" si="3"/>
        <v>-987.04557264115783</v>
      </c>
      <c r="D86" s="3">
        <v>784.32</v>
      </c>
      <c r="E86">
        <f t="shared" si="2"/>
        <v>-202.72557264115778</v>
      </c>
      <c r="F86">
        <f>$L$2+SUM($E$2:E86)</f>
        <v>-8162.273674498414</v>
      </c>
    </row>
    <row r="87" spans="1:6" ht="18.5" thickBot="1" x14ac:dyDescent="0.6">
      <c r="A87">
        <v>31</v>
      </c>
      <c r="B87" s="2">
        <v>43732.541666608799</v>
      </c>
      <c r="C87">
        <f t="shared" si="3"/>
        <v>-987.04557264115783</v>
      </c>
      <c r="D87" s="3">
        <v>775.25999999999988</v>
      </c>
      <c r="E87">
        <f t="shared" si="2"/>
        <v>-211.78557264115796</v>
      </c>
      <c r="F87">
        <f>$L$2+SUM($E$2:E87)</f>
        <v>-8374.0592471395721</v>
      </c>
    </row>
    <row r="88" spans="1:6" ht="18.5" thickBot="1" x14ac:dyDescent="0.6">
      <c r="A88">
        <v>32</v>
      </c>
      <c r="B88" s="2">
        <v>43732.548611053244</v>
      </c>
      <c r="C88">
        <f t="shared" si="3"/>
        <v>-987.04557264115783</v>
      </c>
      <c r="D88" s="3">
        <v>764.57999999999993</v>
      </c>
      <c r="E88">
        <f t="shared" si="2"/>
        <v>-222.46557264115791</v>
      </c>
      <c r="F88">
        <f>$L$2+SUM($E$2:E88)</f>
        <v>-8596.5248197807305</v>
      </c>
    </row>
    <row r="89" spans="1:6" ht="18.5" thickBot="1" x14ac:dyDescent="0.6">
      <c r="A89">
        <v>33</v>
      </c>
      <c r="B89" s="2">
        <v>43732.555555497682</v>
      </c>
      <c r="C89">
        <f t="shared" si="3"/>
        <v>-987.04557264115783</v>
      </c>
      <c r="D89" s="3">
        <v>752.28</v>
      </c>
      <c r="E89">
        <f t="shared" si="2"/>
        <v>-234.76557264115786</v>
      </c>
      <c r="F89">
        <f>$L$2+SUM($E$2:E89)</f>
        <v>-8831.2903924218881</v>
      </c>
    </row>
    <row r="90" spans="1:6" ht="18.5" thickBot="1" x14ac:dyDescent="0.6">
      <c r="A90">
        <v>34</v>
      </c>
      <c r="B90" s="2">
        <v>43732.562499942127</v>
      </c>
      <c r="C90">
        <f t="shared" si="3"/>
        <v>-987.04557264115783</v>
      </c>
      <c r="D90" s="3">
        <v>738.42</v>
      </c>
      <c r="E90">
        <f t="shared" si="2"/>
        <v>-248.62557264115787</v>
      </c>
      <c r="F90">
        <f>$L$2+SUM($E$2:E90)</f>
        <v>-9079.9159650630463</v>
      </c>
    </row>
    <row r="91" spans="1:6" ht="18.5" thickBot="1" x14ac:dyDescent="0.6">
      <c r="A91">
        <v>35</v>
      </c>
      <c r="B91" s="2">
        <v>43732.569444386572</v>
      </c>
      <c r="C91">
        <f t="shared" si="3"/>
        <v>-987.04557264115783</v>
      </c>
      <c r="D91" s="3">
        <v>723.06</v>
      </c>
      <c r="E91">
        <f t="shared" si="2"/>
        <v>-263.98557264115789</v>
      </c>
      <c r="F91">
        <f>$L$2+SUM($E$2:E91)</f>
        <v>-9343.9015377042051</v>
      </c>
    </row>
    <row r="92" spans="1:6" ht="18.5" thickBot="1" x14ac:dyDescent="0.6">
      <c r="A92">
        <v>36</v>
      </c>
      <c r="B92" s="2">
        <v>43732.576388831018</v>
      </c>
      <c r="C92">
        <f t="shared" si="3"/>
        <v>-987.04557264115783</v>
      </c>
      <c r="D92" s="3">
        <v>706.14</v>
      </c>
      <c r="E92">
        <f t="shared" si="2"/>
        <v>-280.90557264115785</v>
      </c>
      <c r="F92">
        <f>$L$2+SUM($E$2:E92)</f>
        <v>-9624.8071103453622</v>
      </c>
    </row>
    <row r="93" spans="1:6" ht="18.5" thickBot="1" x14ac:dyDescent="0.6">
      <c r="A93">
        <v>37</v>
      </c>
      <c r="B93" s="2">
        <v>43732.583333275463</v>
      </c>
      <c r="C93">
        <f t="shared" si="3"/>
        <v>-987.04557264115783</v>
      </c>
      <c r="D93" s="3">
        <v>687.84</v>
      </c>
      <c r="E93">
        <f t="shared" si="2"/>
        <v>-299.2055726411578</v>
      </c>
      <c r="F93">
        <f>$L$2+SUM($E$2:E93)</f>
        <v>-9924.0126829865203</v>
      </c>
    </row>
    <row r="94" spans="1:6" ht="18.5" thickBot="1" x14ac:dyDescent="0.6">
      <c r="A94">
        <v>38</v>
      </c>
      <c r="B94" s="2">
        <v>43732.590277719908</v>
      </c>
      <c r="C94">
        <f t="shared" si="3"/>
        <v>-987.04557264115783</v>
      </c>
      <c r="D94" s="3">
        <v>668.04000000000008</v>
      </c>
      <c r="E94">
        <f t="shared" si="2"/>
        <v>-319.00557264115776</v>
      </c>
      <c r="F94">
        <f>$L$2+SUM($E$2:E94)</f>
        <v>-10243.018255627678</v>
      </c>
    </row>
    <row r="95" spans="1:6" ht="18.5" thickBot="1" x14ac:dyDescent="0.6">
      <c r="A95">
        <v>39</v>
      </c>
      <c r="B95" s="2">
        <v>43732.597222164353</v>
      </c>
      <c r="C95">
        <f t="shared" si="3"/>
        <v>-987.04557264115783</v>
      </c>
      <c r="D95" s="3">
        <v>646.8599999999999</v>
      </c>
      <c r="E95">
        <f t="shared" si="2"/>
        <v>-340.18557264115793</v>
      </c>
      <c r="F95">
        <f>$L$2+SUM($E$2:E95)</f>
        <v>-10583.203828268835</v>
      </c>
    </row>
    <row r="96" spans="1:6" ht="18.5" thickBot="1" x14ac:dyDescent="0.6">
      <c r="A96">
        <v>40</v>
      </c>
      <c r="B96" s="2">
        <v>43732.604166608799</v>
      </c>
      <c r="C96">
        <f t="shared" si="3"/>
        <v>-987.04557264115783</v>
      </c>
      <c r="D96" s="3">
        <v>624.3599999999999</v>
      </c>
      <c r="E96">
        <f t="shared" si="2"/>
        <v>-362.68557264115793</v>
      </c>
      <c r="F96">
        <f>$L$2+SUM($E$2:E96)</f>
        <v>-10945.889400909993</v>
      </c>
    </row>
    <row r="97" spans="1:6" ht="18.5" thickBot="1" x14ac:dyDescent="0.6">
      <c r="A97">
        <v>41</v>
      </c>
      <c r="B97" s="2">
        <v>43732.611111053244</v>
      </c>
      <c r="C97">
        <f t="shared" si="3"/>
        <v>-987.04557264115783</v>
      </c>
      <c r="D97" s="3">
        <v>600.54</v>
      </c>
      <c r="E97">
        <f t="shared" si="2"/>
        <v>-386.50557264115787</v>
      </c>
      <c r="F97">
        <f>$L$2+SUM($E$2:E97)</f>
        <v>-11332.394973551151</v>
      </c>
    </row>
    <row r="98" spans="1:6" ht="18.5" thickBot="1" x14ac:dyDescent="0.6">
      <c r="A98">
        <v>42</v>
      </c>
      <c r="B98" s="2">
        <v>43732.618055497682</v>
      </c>
      <c r="C98">
        <f t="shared" si="3"/>
        <v>-987.04557264115783</v>
      </c>
      <c r="D98" s="3">
        <v>575.46</v>
      </c>
      <c r="E98">
        <f t="shared" si="2"/>
        <v>-411.5855726411578</v>
      </c>
      <c r="F98">
        <f>$L$2+SUM($E$2:E98)</f>
        <v>-11743.980546192308</v>
      </c>
    </row>
    <row r="99" spans="1:6" ht="18.5" thickBot="1" x14ac:dyDescent="0.6">
      <c r="A99">
        <v>43</v>
      </c>
      <c r="B99" s="2">
        <v>43732.624999942127</v>
      </c>
      <c r="C99">
        <f t="shared" si="3"/>
        <v>-987.04557264115783</v>
      </c>
      <c r="D99" s="3">
        <v>549.24</v>
      </c>
      <c r="E99">
        <f t="shared" si="2"/>
        <v>-437.80557264115782</v>
      </c>
      <c r="F99">
        <f>$L$2+SUM($E$2:E99)</f>
        <v>-12181.786118833466</v>
      </c>
    </row>
    <row r="100" spans="1:6" ht="18.5" thickBot="1" x14ac:dyDescent="0.6">
      <c r="A100">
        <v>44</v>
      </c>
      <c r="B100" s="2">
        <v>43732.631944386572</v>
      </c>
      <c r="C100">
        <f t="shared" si="3"/>
        <v>-987.04557264115783</v>
      </c>
      <c r="D100" s="3">
        <v>521.88</v>
      </c>
      <c r="E100">
        <f t="shared" si="2"/>
        <v>-465.16557264115784</v>
      </c>
      <c r="F100">
        <f>$L$2+SUM($E$2:E100)</f>
        <v>-12646.951691474624</v>
      </c>
    </row>
    <row r="101" spans="1:6" ht="18.5" thickBot="1" x14ac:dyDescent="0.6">
      <c r="A101">
        <v>45</v>
      </c>
      <c r="B101" s="2">
        <v>43732.638888831018</v>
      </c>
      <c r="C101">
        <f t="shared" si="3"/>
        <v>-987.04557264115783</v>
      </c>
      <c r="D101" s="3">
        <v>493.43999999999994</v>
      </c>
      <c r="E101">
        <f t="shared" si="2"/>
        <v>-493.60557264115789</v>
      </c>
      <c r="F101">
        <f>$L$2+SUM($E$2:E101)</f>
        <v>-13140.557264115781</v>
      </c>
    </row>
    <row r="102" spans="1:6" ht="18.5" thickBot="1" x14ac:dyDescent="0.6">
      <c r="A102">
        <v>46</v>
      </c>
      <c r="B102" s="2">
        <v>43732.645833275463</v>
      </c>
      <c r="C102">
        <f t="shared" si="3"/>
        <v>-987.04557264115783</v>
      </c>
      <c r="D102" s="3">
        <v>464.03999999999996</v>
      </c>
      <c r="E102">
        <f t="shared" si="2"/>
        <v>-523.00557264115787</v>
      </c>
      <c r="F102">
        <f>$L$2+SUM($E$2:E102)</f>
        <v>-13663.562836756939</v>
      </c>
    </row>
    <row r="103" spans="1:6" ht="18.5" thickBot="1" x14ac:dyDescent="0.6">
      <c r="A103">
        <v>47</v>
      </c>
      <c r="B103" s="2">
        <v>43732.652777719908</v>
      </c>
      <c r="C103">
        <f t="shared" si="3"/>
        <v>-987.04557264115783</v>
      </c>
      <c r="D103" s="3">
        <v>433.67999999999995</v>
      </c>
      <c r="E103">
        <f t="shared" si="2"/>
        <v>-553.36557264115788</v>
      </c>
      <c r="F103">
        <f>$L$2+SUM($E$2:E103)</f>
        <v>-14216.928409398097</v>
      </c>
    </row>
    <row r="104" spans="1:6" ht="18.5" thickBot="1" x14ac:dyDescent="0.6">
      <c r="A104">
        <v>48</v>
      </c>
      <c r="B104" s="2">
        <v>43732.659722164353</v>
      </c>
      <c r="C104">
        <f t="shared" si="3"/>
        <v>-987.04557264115783</v>
      </c>
      <c r="D104" s="3">
        <v>402.47999999999996</v>
      </c>
      <c r="E104">
        <f t="shared" si="2"/>
        <v>-584.56557264115781</v>
      </c>
      <c r="F104">
        <f>$L$2+SUM($E$2:E104)</f>
        <v>-14801.493982039254</v>
      </c>
    </row>
    <row r="105" spans="1:6" ht="18.5" thickBot="1" x14ac:dyDescent="0.6">
      <c r="A105">
        <v>49</v>
      </c>
      <c r="B105" s="2">
        <v>43732.666666608799</v>
      </c>
      <c r="C105">
        <f t="shared" si="3"/>
        <v>-987.04557264115783</v>
      </c>
      <c r="D105" s="3">
        <v>370.5</v>
      </c>
      <c r="E105">
        <f t="shared" si="2"/>
        <v>-616.54557264115783</v>
      </c>
      <c r="F105">
        <f>$L$2+SUM($E$2:E105)</f>
        <v>-15418.039554680412</v>
      </c>
    </row>
    <row r="106" spans="1:6" ht="18.5" thickBot="1" x14ac:dyDescent="0.6">
      <c r="A106">
        <v>50</v>
      </c>
      <c r="B106" s="2">
        <v>43732.673611053244</v>
      </c>
      <c r="C106">
        <f t="shared" si="3"/>
        <v>-987.04557264115783</v>
      </c>
      <c r="D106" s="3">
        <v>337.92</v>
      </c>
      <c r="E106">
        <f t="shared" si="2"/>
        <v>-649.12557264115776</v>
      </c>
      <c r="F106">
        <f>$L$2+SUM($E$2:E106)</f>
        <v>-16067.16512732157</v>
      </c>
    </row>
    <row r="107" spans="1:6" ht="18.5" thickBot="1" x14ac:dyDescent="0.6">
      <c r="A107">
        <v>51</v>
      </c>
      <c r="B107" s="2">
        <v>43732.680555497682</v>
      </c>
      <c r="C107">
        <f t="shared" si="3"/>
        <v>-987.04557264115783</v>
      </c>
      <c r="D107" s="3">
        <v>304.73999999999995</v>
      </c>
      <c r="E107">
        <f t="shared" si="2"/>
        <v>-682.30557264115782</v>
      </c>
      <c r="F107">
        <f>$L$2+SUM($E$2:E107)</f>
        <v>-16749.470699962727</v>
      </c>
    </row>
    <row r="108" spans="1:6" ht="18.5" thickBot="1" x14ac:dyDescent="0.6">
      <c r="A108">
        <v>52</v>
      </c>
      <c r="B108" s="2">
        <v>43732.687499942127</v>
      </c>
      <c r="C108">
        <f t="shared" si="3"/>
        <v>-987.04557264115783</v>
      </c>
      <c r="D108" s="3">
        <v>271.2</v>
      </c>
      <c r="E108">
        <f t="shared" si="2"/>
        <v>-715.84557264115779</v>
      </c>
      <c r="F108">
        <f>$L$2+SUM($E$2:E108)</f>
        <v>-17465.316272603886</v>
      </c>
    </row>
    <row r="109" spans="1:6" ht="18.5" thickBot="1" x14ac:dyDescent="0.6">
      <c r="A109">
        <v>53</v>
      </c>
      <c r="B109" s="2">
        <v>43732.694444386572</v>
      </c>
      <c r="C109">
        <f t="shared" si="3"/>
        <v>-987.04557264115783</v>
      </c>
      <c r="D109" s="3">
        <v>237.29999999999998</v>
      </c>
      <c r="E109">
        <f t="shared" si="2"/>
        <v>-749.74557264115788</v>
      </c>
      <c r="F109">
        <f>$L$2+SUM($E$2:E109)</f>
        <v>-18215.061845245044</v>
      </c>
    </row>
    <row r="110" spans="1:6" ht="18.5" thickBot="1" x14ac:dyDescent="0.6">
      <c r="A110">
        <v>54</v>
      </c>
      <c r="B110" s="2">
        <v>43732.701388831018</v>
      </c>
      <c r="C110">
        <f t="shared" si="3"/>
        <v>-987.04557264115783</v>
      </c>
      <c r="D110" s="3">
        <v>203.4</v>
      </c>
      <c r="E110">
        <f t="shared" si="2"/>
        <v>-783.64557264115786</v>
      </c>
      <c r="F110">
        <f>$L$2+SUM($E$2:E110)</f>
        <v>-18998.707417886202</v>
      </c>
    </row>
    <row r="111" spans="1:6" ht="18.5" thickBot="1" x14ac:dyDescent="0.6">
      <c r="A111">
        <v>55</v>
      </c>
      <c r="B111" s="2">
        <v>43732.708333275463</v>
      </c>
      <c r="C111">
        <f t="shared" si="3"/>
        <v>-987.04557264115783</v>
      </c>
      <c r="D111" s="3">
        <v>169.61999999999998</v>
      </c>
      <c r="E111">
        <f t="shared" si="2"/>
        <v>-817.42557264115783</v>
      </c>
      <c r="F111">
        <f>$L$2+SUM($E$2:E111)</f>
        <v>-19816.13299052736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P,ΣP-t_v_01-02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2019-09-24T01:30:20Z</dcterms:created>
  <dcterms:modified xsi:type="dcterms:W3CDTF">2019-09-24T02:10:03Z</dcterms:modified>
</cp:coreProperties>
</file>