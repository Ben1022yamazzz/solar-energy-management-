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omments1.xml" ContentType="application/vnd.openxmlformats-officedocument.spreadsheetml.comments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 defaultThemeVersion="124226"/>
  <xr:revisionPtr revIDLastSave="0" documentId="13_ncr:1_{3F3D2A29-20A3-4408-A52E-BB3D97CA0901}" xr6:coauthVersionLast="44" xr6:coauthVersionMax="44" xr10:uidLastSave="{00000000-0000-0000-0000-000000000000}"/>
  <bookViews>
    <workbookView xWindow="380" yWindow="380" windowWidth="14400" windowHeight="7360" activeTab="4" xr2:uid="{00000000-000D-0000-FFFF-FFFF00000000}"/>
  </bookViews>
  <sheets>
    <sheet name="参照データ" sheetId="2" r:id="rId1"/>
    <sheet name="顧客データ" sheetId="1" r:id="rId2"/>
    <sheet name="支店用" sheetId="4" r:id="rId3"/>
    <sheet name="MSクエリ" sheetId="5" r:id="rId4"/>
    <sheet name="実現損益" sheetId="8" r:id="rId5"/>
    <sheet name="取引履歴" sheetId="9" r:id="rId6"/>
    <sheet name="集計_1" sheetId="10" r:id="rId7"/>
    <sheet name="集計_2" sheetId="11" r:id="rId8"/>
    <sheet name="集計_3" sheetId="12" r:id="rId9"/>
    <sheet name="集計_4" sheetId="13" r:id="rId10"/>
    <sheet name="平均" sheetId="14" r:id="rId11"/>
    <sheet name="グラフ" sheetId="15" r:id="rId12"/>
    <sheet name="パフォーマンス管理" sheetId="7" r:id="rId13"/>
  </sheets>
  <definedNames>
    <definedName name="_xlnm._FilterDatabase" localSheetId="1" hidden="1">顧客データ!$A$5:$H$22</definedName>
    <definedName name="_xlnm._FilterDatabase" localSheetId="4" hidden="1">実現損益!$A$1:$O$1</definedName>
    <definedName name="_xlnm.Criteria" localSheetId="1">顧客データ!$F$2:$H$3</definedName>
    <definedName name="Excel_Files_からのクエリ" localSheetId="3" hidden="1">MSクエリ!$A$24:$H$25</definedName>
    <definedName name="_xlnm.Print_Area" localSheetId="1">顧客データ!$A$1:$H$29</definedName>
  </definedNames>
  <calcPr calcId="191029"/>
  <pivotCaches>
    <pivotCache cacheId="0" r:id="rId14"/>
    <pivotCache cacheId="1" r:id="rId15"/>
    <pivotCache cacheId="2" r:id="rId16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" i="14" l="1"/>
  <c r="C5" i="14" s="1"/>
  <c r="D5" i="7"/>
  <c r="N5" i="7" s="1"/>
  <c r="C5" i="7"/>
  <c r="C6" i="7" s="1"/>
  <c r="C7" i="7" s="1"/>
  <c r="B2" i="7"/>
  <c r="K5" i="7" l="1"/>
  <c r="P5" i="7" s="1"/>
  <c r="I6" i="7"/>
  <c r="N6" i="7" s="1"/>
  <c r="L5" i="7"/>
  <c r="E5" i="7"/>
  <c r="I5" i="7"/>
  <c r="K6" i="7"/>
  <c r="P6" i="7" s="1"/>
  <c r="D4" i="14"/>
  <c r="D5" i="14" s="1"/>
  <c r="M5" i="7" l="1"/>
  <c r="I7" i="7"/>
  <c r="L6" i="7"/>
  <c r="O5" i="7"/>
  <c r="F5" i="7"/>
  <c r="Q5" i="7" s="1"/>
  <c r="H5" i="7"/>
  <c r="D6" i="7" s="1"/>
  <c r="M6" i="7" l="1"/>
  <c r="G5" i="7"/>
  <c r="R5" i="7" s="1"/>
  <c r="E6" i="7"/>
  <c r="O6" i="7" s="1"/>
  <c r="F6" i="7" l="1"/>
  <c r="H6" i="7"/>
  <c r="D7" i="7" s="1"/>
  <c r="F7" i="7" l="1"/>
  <c r="G6" i="7"/>
  <c r="R6" i="7" s="1"/>
  <c r="Q6" i="7"/>
  <c r="E7" i="7"/>
  <c r="J1" i="7" s="1"/>
  <c r="H7" i="7"/>
  <c r="G7" i="7" l="1"/>
  <c r="L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毎月手入力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J4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毎月手入力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ACC656-2B6C-4539-91C8-7F1EEA7E7039}" name="Excel Files からのクエリ" type="1" refreshedVersion="6" background="1" saveData="1">
    <dbPr connection="DSN=Excel Files;DBQ=C:\Users\kouho\Desktop\vbaの勉強\顧客データ.xlsx;DefaultDir=C:\Users\kouho\Desktop\vbaの勉強;DriverId=1046;MaxBufferSize=2048;PageTimeout=5;" command="SELECT `Sheet1$`.支店, `Sheet1$`.顧客コード, `Sheet1$`.氏名, `Sheet1$`.フリガナ, `Sheet1$`.電話番号, `Sheet1$`.メールアドレス, `Sheet1$`.通知日, `Sheet1$`.書類提出日_x000d__x000a_FROM `C:\Users\kouho\Desktop\vbaの勉強\顧客データ.xlsx`.`Sheet1$` `Sheet1$`_x000d__x000a_WHERE (`Sheet1$`.通知日&gt;=?)"/>
    <parameters count="1">
      <parameter name="パラメーター1" sqlType="11" parameterType="cell" refreshOnChange="1" cell="MSクエリ!$J$1"/>
    </parameters>
  </connection>
</connections>
</file>

<file path=xl/sharedStrings.xml><?xml version="1.0" encoding="utf-8"?>
<sst xmlns="http://schemas.openxmlformats.org/spreadsheetml/2006/main" count="1196" uniqueCount="227">
  <si>
    <t>氏名</t>
  </si>
  <si>
    <t>大久保 孝子</t>
  </si>
  <si>
    <t>川崎 忠信</t>
  </si>
  <si>
    <t>上野 泰子</t>
  </si>
  <si>
    <t>小杉 雅俊</t>
  </si>
  <si>
    <t>神田 昭夫</t>
  </si>
  <si>
    <t>田端 幸恵</t>
  </si>
  <si>
    <t>青山 信之</t>
  </si>
  <si>
    <t>恵比寿 恭子</t>
  </si>
  <si>
    <t>大田 圭一</t>
  </si>
  <si>
    <t>駒込 和之</t>
  </si>
  <si>
    <t>五反田 太郎</t>
  </si>
  <si>
    <t>品川 康夫</t>
  </si>
  <si>
    <t>新橋 はじめ</t>
  </si>
  <si>
    <t>高田 光男</t>
  </si>
  <si>
    <t>間　顕次</t>
  </si>
  <si>
    <t>白金 浩之</t>
    <phoneticPr fontId="4"/>
  </si>
  <si>
    <t>大森 昭洋</t>
    <phoneticPr fontId="4"/>
  </si>
  <si>
    <t>フリガナ</t>
  </si>
  <si>
    <t>ｼﾛｶﾞﾈ ﾋﾛﾕｷ</t>
    <phoneticPr fontId="4"/>
  </si>
  <si>
    <t>ｵｵｸﾎﾞ ﾀｶｺ</t>
  </si>
  <si>
    <t>ｶﾜｻｷ ﾀﾀﾞﾉﾌﾞ</t>
  </si>
  <si>
    <t>ｳｴﾉ ﾔｽｺ</t>
  </si>
  <si>
    <t>ｺｽｷﾞ ﾏｻﾄｼ</t>
  </si>
  <si>
    <t>ｶﾝﾀﾞ ｱｷｵ</t>
  </si>
  <si>
    <t>ﾀﾊﾞﾀ ﾕｷｴ</t>
  </si>
  <si>
    <t>ｱｵﾔﾏ ﾉﾌﾞﾕｷ</t>
  </si>
  <si>
    <t>ｴﾋﾞｽ ｷｮｳｺ</t>
  </si>
  <si>
    <t>ｵｵﾀ ｹｲｲﾁ</t>
  </si>
  <si>
    <t>ｵｵﾓﾘ ｱｷﾋﾛ</t>
    <phoneticPr fontId="4"/>
  </si>
  <si>
    <t>ｺﾏｺﾞﾒ ｶｽﾞﾕｷ</t>
  </si>
  <si>
    <t>ｺﾞﾀﾝﾀﾞ ﾀﾛｳ</t>
  </si>
  <si>
    <t>ｼﾅｶﾞﾜ ﾔｽｵ</t>
  </si>
  <si>
    <t>ｼﾝﾊﾞｼ ﾊｼﾞﾒ</t>
  </si>
  <si>
    <t>ﾀｶﾀﾞ ﾐﾂｵ</t>
  </si>
  <si>
    <t>ﾊｻﾞﾏ　ｹﾝｼﾞ</t>
  </si>
  <si>
    <t>支店</t>
    <rPh sb="0" eb="2">
      <t>シテン</t>
    </rPh>
    <phoneticPr fontId="2"/>
  </si>
  <si>
    <t>顧客コード</t>
    <rPh sb="0" eb="2">
      <t>コキャク</t>
    </rPh>
    <phoneticPr fontId="2"/>
  </si>
  <si>
    <t>電話番号</t>
  </si>
  <si>
    <t>メールアドレス</t>
    <phoneticPr fontId="2"/>
  </si>
  <si>
    <t>(048)962-80XX</t>
  </si>
  <si>
    <t>shirogane@mail.cm</t>
    <phoneticPr fontId="2"/>
  </si>
  <si>
    <t>(045)581-78XX</t>
  </si>
  <si>
    <t>okubo@mail.cm</t>
    <phoneticPr fontId="2"/>
  </si>
  <si>
    <t>kawasaki@mail.cm</t>
    <phoneticPr fontId="2"/>
  </si>
  <si>
    <t>(0427)62-27XX</t>
  </si>
  <si>
    <t>ueno@mail.cm</t>
    <phoneticPr fontId="2"/>
  </si>
  <si>
    <t>kosugi@mail.cm</t>
    <phoneticPr fontId="2"/>
  </si>
  <si>
    <t>(06)845-50XX</t>
  </si>
  <si>
    <t>kanda@mail.cm</t>
    <phoneticPr fontId="2"/>
  </si>
  <si>
    <t>(06)862-91XX</t>
  </si>
  <si>
    <t>tabata@mail.cm</t>
    <phoneticPr fontId="2"/>
  </si>
  <si>
    <t>(03)5831-56XX</t>
  </si>
  <si>
    <t>aoyama@mail.cm</t>
    <phoneticPr fontId="2"/>
  </si>
  <si>
    <t>(03)3421-16XX</t>
  </si>
  <si>
    <t>ebisu@mail.cm</t>
    <phoneticPr fontId="2"/>
  </si>
  <si>
    <t>(03)3575-31XX</t>
  </si>
  <si>
    <t>ota@mail.cm</t>
    <phoneticPr fontId="2"/>
  </si>
  <si>
    <t>(03)5591-64XX</t>
  </si>
  <si>
    <t>omari@mail.cm</t>
    <phoneticPr fontId="2"/>
  </si>
  <si>
    <t>(03)3566-25XX</t>
    <phoneticPr fontId="2"/>
  </si>
  <si>
    <t>komagome@mail.cm</t>
    <phoneticPr fontId="2"/>
  </si>
  <si>
    <t>(0425)37-00XX</t>
  </si>
  <si>
    <t>gotanda@mail.cm</t>
    <phoneticPr fontId="2"/>
  </si>
  <si>
    <t>(03)3714-75XX</t>
  </si>
  <si>
    <t>shinagawa@mail.cm</t>
    <phoneticPr fontId="2"/>
  </si>
  <si>
    <t>(03)3377-32XX</t>
  </si>
  <si>
    <t>shinbashi@mail.cm</t>
    <phoneticPr fontId="2"/>
  </si>
  <si>
    <t>(03)3504-03XX</t>
  </si>
  <si>
    <t>takada@mail.cm</t>
    <phoneticPr fontId="2"/>
  </si>
  <si>
    <t>(03)3777-55XX</t>
  </si>
  <si>
    <t>hazama@mail.cm</t>
    <phoneticPr fontId="2"/>
  </si>
  <si>
    <t>新宿</t>
    <rPh sb="0" eb="2">
      <t>シンジュク</t>
    </rPh>
    <phoneticPr fontId="2"/>
  </si>
  <si>
    <t>渋谷</t>
    <rPh sb="0" eb="2">
      <t>シブヤ</t>
    </rPh>
    <phoneticPr fontId="2"/>
  </si>
  <si>
    <t>神田</t>
    <rPh sb="0" eb="2">
      <t>カンダ</t>
    </rPh>
    <phoneticPr fontId="2"/>
  </si>
  <si>
    <t>東京中央</t>
    <rPh sb="0" eb="2">
      <t>トウキョウ</t>
    </rPh>
    <rPh sb="2" eb="4">
      <t>チュウオウ</t>
    </rPh>
    <phoneticPr fontId="2"/>
  </si>
  <si>
    <t>通知日</t>
    <rPh sb="0" eb="3">
      <t>ツウチビ</t>
    </rPh>
    <phoneticPr fontId="2"/>
  </si>
  <si>
    <t>マイナンバー書類提出状況</t>
    <rPh sb="6" eb="8">
      <t>ショルイ</t>
    </rPh>
    <rPh sb="8" eb="10">
      <t>テイシュツ</t>
    </rPh>
    <rPh sb="10" eb="12">
      <t>ジョウキョウ</t>
    </rPh>
    <phoneticPr fontId="2"/>
  </si>
  <si>
    <t>書類提出日</t>
    <rPh sb="0" eb="2">
      <t>ショルイ</t>
    </rPh>
    <rPh sb="2" eb="4">
      <t>テイシュツ</t>
    </rPh>
    <rPh sb="4" eb="5">
      <t>ビ</t>
    </rPh>
    <phoneticPr fontId="2"/>
  </si>
  <si>
    <t>参照データ</t>
    <rPh sb="0" eb="2">
      <t>サンショウ</t>
    </rPh>
    <phoneticPr fontId="2"/>
  </si>
  <si>
    <t>通知日スタート</t>
    <rPh sb="0" eb="3">
      <t>ツウチビ</t>
    </rPh>
    <phoneticPr fontId="2"/>
  </si>
  <si>
    <t>通知日エンド</t>
    <rPh sb="0" eb="3">
      <t>ツウチビ</t>
    </rPh>
    <phoneticPr fontId="2"/>
  </si>
  <si>
    <t>Ref</t>
    <phoneticPr fontId="2"/>
  </si>
  <si>
    <t>realized_pl(JP)</t>
    <phoneticPr fontId="2"/>
  </si>
  <si>
    <t>tradehistory(JP)</t>
    <phoneticPr fontId="2"/>
  </si>
  <si>
    <t>月率</t>
    <rPh sb="0" eb="1">
      <t>ゲツ</t>
    </rPh>
    <rPh sb="1" eb="2">
      <t>リツ</t>
    </rPh>
    <phoneticPr fontId="2"/>
  </si>
  <si>
    <t>末目標値迄</t>
    <rPh sb="0" eb="1">
      <t>マツ</t>
    </rPh>
    <rPh sb="1" eb="4">
      <t>モクヒョウチ</t>
    </rPh>
    <rPh sb="4" eb="5">
      <t>マデ</t>
    </rPh>
    <phoneticPr fontId="2"/>
  </si>
  <si>
    <t>月次</t>
    <rPh sb="0" eb="2">
      <t>ゲツジ</t>
    </rPh>
    <phoneticPr fontId="2"/>
  </si>
  <si>
    <t>累積</t>
    <rPh sb="0" eb="2">
      <t>ルイセキ</t>
    </rPh>
    <phoneticPr fontId="2"/>
  </si>
  <si>
    <t>年率</t>
    <rPh sb="0" eb="2">
      <t>ネンリツ</t>
    </rPh>
    <phoneticPr fontId="2"/>
  </si>
  <si>
    <t>年月</t>
    <rPh sb="0" eb="2">
      <t>ネンゲツ</t>
    </rPh>
    <phoneticPr fontId="2"/>
  </si>
  <si>
    <t>入出金</t>
    <rPh sb="0" eb="3">
      <t>ニュウシュッキン</t>
    </rPh>
    <phoneticPr fontId="2"/>
  </si>
  <si>
    <t>累積
入出金</t>
    <rPh sb="0" eb="2">
      <t>ルイセキ</t>
    </rPh>
    <rPh sb="3" eb="6">
      <t>ニュウシュッキン</t>
    </rPh>
    <phoneticPr fontId="2"/>
  </si>
  <si>
    <t>目標
月初残高</t>
    <rPh sb="0" eb="2">
      <t>モクヒョウ</t>
    </rPh>
    <rPh sb="3" eb="5">
      <t>ゲッショ</t>
    </rPh>
    <rPh sb="5" eb="7">
      <t>ザンダカ</t>
    </rPh>
    <phoneticPr fontId="2"/>
  </si>
  <si>
    <t>目標
月次収益</t>
    <rPh sb="0" eb="2">
      <t>モクヒョウ</t>
    </rPh>
    <rPh sb="3" eb="5">
      <t>ゲツジ</t>
    </rPh>
    <rPh sb="5" eb="7">
      <t>シュウエキ</t>
    </rPh>
    <phoneticPr fontId="2"/>
  </si>
  <si>
    <t>目標
累積収益</t>
    <rPh sb="0" eb="2">
      <t>モクヒョウ</t>
    </rPh>
    <rPh sb="3" eb="5">
      <t>ルイセキ</t>
    </rPh>
    <rPh sb="5" eb="7">
      <t>シュウエキ</t>
    </rPh>
    <phoneticPr fontId="2"/>
  </si>
  <si>
    <t>目標
累積収益率</t>
    <rPh sb="0" eb="2">
      <t>モクヒョウ</t>
    </rPh>
    <rPh sb="3" eb="5">
      <t>ルイセキ</t>
    </rPh>
    <rPh sb="5" eb="7">
      <t>シュウエキ</t>
    </rPh>
    <rPh sb="7" eb="8">
      <t>リツ</t>
    </rPh>
    <phoneticPr fontId="2"/>
  </si>
  <si>
    <t>目標
月末残高</t>
    <rPh sb="0" eb="2">
      <t>モクヒョウ</t>
    </rPh>
    <rPh sb="3" eb="5">
      <t>ゲツマツ</t>
    </rPh>
    <rPh sb="5" eb="7">
      <t>ザンダカ</t>
    </rPh>
    <phoneticPr fontId="2"/>
  </si>
  <si>
    <t>実績
月初残高</t>
    <rPh sb="0" eb="2">
      <t>ジッセキ</t>
    </rPh>
    <rPh sb="3" eb="5">
      <t>ゲッショ</t>
    </rPh>
    <rPh sb="5" eb="7">
      <t>ザンダカ</t>
    </rPh>
    <phoneticPr fontId="2"/>
  </si>
  <si>
    <t>実績
月次収益</t>
    <rPh sb="0" eb="2">
      <t>ジッセキ</t>
    </rPh>
    <rPh sb="3" eb="5">
      <t>ゲツジ</t>
    </rPh>
    <rPh sb="5" eb="7">
      <t>シュウエキ</t>
    </rPh>
    <phoneticPr fontId="2"/>
  </si>
  <si>
    <t>実績
月次収益率</t>
    <rPh sb="0" eb="2">
      <t>ジッセキ</t>
    </rPh>
    <rPh sb="3" eb="5">
      <t>ゲツジ</t>
    </rPh>
    <rPh sb="5" eb="7">
      <t>シュウエキ</t>
    </rPh>
    <rPh sb="7" eb="8">
      <t>リツ</t>
    </rPh>
    <phoneticPr fontId="2"/>
  </si>
  <si>
    <t>実績
累積収益</t>
    <rPh sb="0" eb="2">
      <t>ジッセキ</t>
    </rPh>
    <rPh sb="3" eb="5">
      <t>ルイセキ</t>
    </rPh>
    <rPh sb="5" eb="7">
      <t>シュウエキ</t>
    </rPh>
    <phoneticPr fontId="2"/>
  </si>
  <si>
    <t>実績
累積収益率</t>
    <rPh sb="0" eb="2">
      <t>ジッセキ</t>
    </rPh>
    <rPh sb="3" eb="5">
      <t>ルイセキ</t>
    </rPh>
    <rPh sb="5" eb="7">
      <t>シュウエキ</t>
    </rPh>
    <rPh sb="7" eb="8">
      <t>リツ</t>
    </rPh>
    <phoneticPr fontId="2"/>
  </si>
  <si>
    <t>実績
月末残高</t>
    <rPh sb="0" eb="2">
      <t>ジッセキ</t>
    </rPh>
    <rPh sb="3" eb="5">
      <t>ゲツマツ</t>
    </rPh>
    <rPh sb="5" eb="7">
      <t>ザンダカ</t>
    </rPh>
    <phoneticPr fontId="2"/>
  </si>
  <si>
    <t>超過
月次収益</t>
    <rPh sb="0" eb="2">
      <t>チョウカ</t>
    </rPh>
    <rPh sb="3" eb="5">
      <t>ゲツジ</t>
    </rPh>
    <rPh sb="5" eb="7">
      <t>シュウエキ</t>
    </rPh>
    <phoneticPr fontId="2"/>
  </si>
  <si>
    <t>超過
月次収益率</t>
    <rPh sb="0" eb="2">
      <t>チョウカ</t>
    </rPh>
    <rPh sb="3" eb="5">
      <t>ゲツジ</t>
    </rPh>
    <rPh sb="5" eb="7">
      <t>シュウエキ</t>
    </rPh>
    <rPh sb="7" eb="8">
      <t>リツ</t>
    </rPh>
    <phoneticPr fontId="2"/>
  </si>
  <si>
    <t>超過
累積収益</t>
    <rPh sb="0" eb="2">
      <t>チョウカ</t>
    </rPh>
    <rPh sb="3" eb="5">
      <t>ルイセキ</t>
    </rPh>
    <rPh sb="5" eb="7">
      <t>シュウエキ</t>
    </rPh>
    <phoneticPr fontId="2"/>
  </si>
  <si>
    <t>超過
累積収益率</t>
    <rPh sb="0" eb="2">
      <t>チョウカ</t>
    </rPh>
    <rPh sb="3" eb="5">
      <t>ルイセキ</t>
    </rPh>
    <rPh sb="5" eb="7">
      <t>シュウエキ</t>
    </rPh>
    <rPh sb="7" eb="8">
      <t>リツ</t>
    </rPh>
    <phoneticPr fontId="2"/>
  </si>
  <si>
    <t>年</t>
    <rPh sb="0" eb="1">
      <t>ネン</t>
    </rPh>
    <phoneticPr fontId="2"/>
  </si>
  <si>
    <t>月</t>
    <rPh sb="0" eb="1">
      <t>ガツ</t>
    </rPh>
    <phoneticPr fontId="2"/>
  </si>
  <si>
    <t>日</t>
    <rPh sb="0" eb="1">
      <t>ニチ</t>
    </rPh>
    <phoneticPr fontId="2"/>
  </si>
  <si>
    <t>約定日</t>
  </si>
  <si>
    <t>受渡日</t>
    <phoneticPr fontId="2"/>
  </si>
  <si>
    <t>銘柄コード</t>
  </si>
  <si>
    <t>銘柄名</t>
  </si>
  <si>
    <t>口座</t>
  </si>
  <si>
    <t>信用区分</t>
  </si>
  <si>
    <t>取引</t>
  </si>
  <si>
    <t>数量[株]</t>
  </si>
  <si>
    <t>売却/決済単価[円]</t>
  </si>
  <si>
    <t>売却/決済額[円]</t>
  </si>
  <si>
    <t>平均取得価額[円]</t>
  </si>
  <si>
    <t>実現損益[円]</t>
  </si>
  <si>
    <t>共立メンテナンス</t>
  </si>
  <si>
    <t>特定</t>
  </si>
  <si>
    <t>-</t>
  </si>
  <si>
    <t>売付</t>
  </si>
  <si>
    <t>エーザイ</t>
  </si>
  <si>
    <t>本田技研</t>
  </si>
  <si>
    <t>ＪＦＥホールディングス</t>
  </si>
  <si>
    <t>森永乳業</t>
  </si>
  <si>
    <t>奥村組</t>
  </si>
  <si>
    <t>パナソニック</t>
  </si>
  <si>
    <t>広島銀行</t>
  </si>
  <si>
    <t>鎌倉新書</t>
  </si>
  <si>
    <t>藤田観光</t>
  </si>
  <si>
    <t>新日鐵住金</t>
  </si>
  <si>
    <t>アインホールディングス</t>
  </si>
  <si>
    <t>長谷工コーポレーシヨン</t>
  </si>
  <si>
    <t>受渡日</t>
  </si>
  <si>
    <t>市場名称</t>
  </si>
  <si>
    <t>口座区分</t>
  </si>
  <si>
    <t>取引区分</t>
  </si>
  <si>
    <t>売買区分</t>
  </si>
  <si>
    <t>弁済期限</t>
  </si>
  <si>
    <t>数量［株］</t>
  </si>
  <si>
    <t>単価［円］</t>
  </si>
  <si>
    <t>手数料［円］</t>
  </si>
  <si>
    <t>税金等［円］</t>
    <phoneticPr fontId="2"/>
  </si>
  <si>
    <t>諸費用［円］</t>
  </si>
  <si>
    <t>税区分</t>
  </si>
  <si>
    <t>受渡金額［円］</t>
  </si>
  <si>
    <t>建約定日</t>
  </si>
  <si>
    <t>建単価［円］</t>
  </si>
  <si>
    <t>建手数料［円］</t>
  </si>
  <si>
    <t>建手数料消費税［円］</t>
  </si>
  <si>
    <t>金利（支払）〔円〕</t>
  </si>
  <si>
    <t>金利（受取）〔円〕</t>
  </si>
  <si>
    <t>逆日歩／特別空売り料（支払）〔円〕</t>
  </si>
  <si>
    <t>逆日歩（受取）〔円〕</t>
  </si>
  <si>
    <t>貸株料</t>
  </si>
  <si>
    <t>事務管理費〔円〕（税抜）</t>
  </si>
  <si>
    <t>名義書換料〔円〕（税抜）</t>
  </si>
  <si>
    <t>東証</t>
  </si>
  <si>
    <t>現物</t>
  </si>
  <si>
    <t>買付</t>
  </si>
  <si>
    <t>源徴なし</t>
  </si>
  <si>
    <t>日本郵船</t>
  </si>
  <si>
    <t>ヤマトホールディングス</t>
  </si>
  <si>
    <t>年</t>
  </si>
  <si>
    <t>合計 / 実現損益[円]</t>
  </si>
  <si>
    <t>2 集計</t>
  </si>
  <si>
    <t>総計</t>
  </si>
  <si>
    <t>合計 / 受渡金額［円］</t>
  </si>
  <si>
    <t>合計 / 手数料［円］</t>
  </si>
  <si>
    <t>合計 / 税金等［円］</t>
  </si>
  <si>
    <t>月</t>
  </si>
  <si>
    <t>(すべて)</t>
  </si>
  <si>
    <t>合計 / 数量［株］</t>
  </si>
  <si>
    <t>開始</t>
    <rPh sb="0" eb="2">
      <t>カイシ</t>
    </rPh>
    <phoneticPr fontId="2"/>
  </si>
  <si>
    <t>終了</t>
    <rPh sb="0" eb="2">
      <t>シュウリョウ</t>
    </rPh>
    <phoneticPr fontId="2"/>
  </si>
  <si>
    <t>日数</t>
    <rPh sb="0" eb="2">
      <t>ニッスウ</t>
    </rPh>
    <phoneticPr fontId="2"/>
  </si>
  <si>
    <t>取引日数</t>
    <rPh sb="0" eb="2">
      <t>トリヒキ</t>
    </rPh>
    <rPh sb="2" eb="4">
      <t>ニッスウ</t>
    </rPh>
    <phoneticPr fontId="2"/>
  </si>
  <si>
    <t>実現損益/日</t>
    <rPh sb="0" eb="2">
      <t>ジツゲン</t>
    </rPh>
    <rPh sb="2" eb="4">
      <t>ソンエキ</t>
    </rPh>
    <rPh sb="5" eb="6">
      <t>ヒ</t>
    </rPh>
    <phoneticPr fontId="2"/>
  </si>
  <si>
    <t>実現損益</t>
    <rPh sb="0" eb="2">
      <t>ジツゲン</t>
    </rPh>
    <rPh sb="2" eb="4">
      <t>ソンエキ</t>
    </rPh>
    <phoneticPr fontId="2"/>
  </si>
  <si>
    <t>取引履歴</t>
    <rPh sb="0" eb="2">
      <t>トリヒキ</t>
    </rPh>
    <rPh sb="2" eb="4">
      <t>リレキ</t>
    </rPh>
    <phoneticPr fontId="2"/>
  </si>
  <si>
    <t>ファイル名の一部</t>
    <rPh sb="4" eb="5">
      <t>メイ</t>
    </rPh>
    <rPh sb="6" eb="8">
      <t>イチブ</t>
    </rPh>
    <phoneticPr fontId="2"/>
  </si>
  <si>
    <t>データ</t>
    <phoneticPr fontId="2"/>
  </si>
  <si>
    <t>東京中央</t>
  </si>
  <si>
    <t>=</t>
  </si>
  <si>
    <t>支店</t>
  </si>
  <si>
    <t>顧客コード</t>
  </si>
  <si>
    <t>メールアドレス</t>
  </si>
  <si>
    <t>通知日</t>
  </si>
  <si>
    <t>書類提出日</t>
  </si>
  <si>
    <t>神田</t>
  </si>
  <si>
    <t>白金 浩之</t>
  </si>
  <si>
    <t>ｼﾛｶﾞﾈ ﾋﾛﾕｷ</t>
  </si>
  <si>
    <t>shirogane@mail.cm</t>
  </si>
  <si>
    <t>okubo@mail.cm</t>
  </si>
  <si>
    <t>kawasaki@mail.cm</t>
  </si>
  <si>
    <t>ueno@mail.cm</t>
  </si>
  <si>
    <t>kosugi@mail.cm</t>
  </si>
  <si>
    <t>渋谷</t>
  </si>
  <si>
    <t>kanda@mail.cm</t>
  </si>
  <si>
    <t>tabata@mail.cm</t>
  </si>
  <si>
    <t>新宿</t>
  </si>
  <si>
    <t>aoyama@mail.cm</t>
  </si>
  <si>
    <t>ebisu@mail.cm</t>
  </si>
  <si>
    <t>ota@mail.cm</t>
  </si>
  <si>
    <t>大森 昭洋</t>
  </si>
  <si>
    <t>ｵｵﾓﾘ ｱｷﾋﾛ</t>
  </si>
  <si>
    <t>omari@mail.cm</t>
  </si>
  <si>
    <t>(03)3566-25XX</t>
  </si>
  <si>
    <t>komagome@mail.cm</t>
  </si>
  <si>
    <t>gotanda@mail.cm</t>
  </si>
  <si>
    <t>shinagawa@mail.cm</t>
  </si>
  <si>
    <t>shinbashi@mail.cm</t>
  </si>
  <si>
    <t>takada@mail.cm</t>
  </si>
  <si>
    <t>hazama@mail.cm</t>
  </si>
  <si>
    <t>(06)862-91XX</t>
    <phoneticPr fontId="2"/>
  </si>
  <si>
    <t>富士石油</t>
  </si>
  <si>
    <t>三越伊勢丹ＨＤ</t>
  </si>
  <si>
    <t>商船三井</t>
  </si>
  <si>
    <t>豊田合成</t>
  </si>
  <si>
    <t>静岡銀行</t>
  </si>
  <si>
    <t>ＡＮＡホールディングス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</si>
</sst>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"/>
    <numFmt numFmtId="177" formatCode="#,##0_);[Red]\(#,##0\)"/>
  </numFmts>
  <fonts count="12" x14ac:knownFonts="1">
    <font>
      <sz val="11"/>
      <color theme="1"/>
      <name val="ＭＳ Ｐゴシック"/>
      <family val="2"/>
      <scheme val="minor"/>
    </font>
    <font>
      <b/>
      <sz val="10.5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0.5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0.5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38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114">
    <xf numFmtId="0" fontId="0" fillId="0" borderId="0" xfId="0"/>
    <xf numFmtId="0" fontId="1" fillId="0" borderId="0" xfId="0" applyFont="1"/>
    <xf numFmtId="0" fontId="3" fillId="0" borderId="0" xfId="0" applyFont="1"/>
    <xf numFmtId="14" fontId="0" fillId="0" borderId="0" xfId="0" applyNumberFormat="1"/>
    <xf numFmtId="0" fontId="0" fillId="0" borderId="0" xfId="0" applyBorder="1"/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3" xfId="0" applyFill="1" applyBorder="1"/>
    <xf numFmtId="0" fontId="0" fillId="0" borderId="2" xfId="0" applyFill="1" applyBorder="1"/>
    <xf numFmtId="0" fontId="0" fillId="0" borderId="1" xfId="0" applyFill="1" applyBorder="1"/>
    <xf numFmtId="0" fontId="0" fillId="2" borderId="3" xfId="0" applyFill="1" applyBorder="1"/>
    <xf numFmtId="0" fontId="0" fillId="2" borderId="2" xfId="0" applyFill="1" applyBorder="1"/>
    <xf numFmtId="0" fontId="0" fillId="2" borderId="1" xfId="0" applyFill="1" applyBorder="1"/>
    <xf numFmtId="0" fontId="1" fillId="0" borderId="0" xfId="0" applyFont="1" applyAlignment="1"/>
    <xf numFmtId="0" fontId="0" fillId="0" borderId="0" xfId="0" applyAlignment="1"/>
    <xf numFmtId="0" fontId="3" fillId="0" borderId="0" xfId="0" applyFont="1" applyAlignment="1"/>
    <xf numFmtId="0" fontId="0" fillId="0" borderId="0" xfId="0" applyFill="1" applyBorder="1"/>
    <xf numFmtId="0" fontId="1" fillId="0" borderId="6" xfId="0" applyFont="1" applyBorder="1"/>
    <xf numFmtId="0" fontId="1" fillId="0" borderId="7" xfId="0" applyFont="1" applyBorder="1" applyAlignment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3" fillId="0" borderId="10" xfId="0" applyFont="1" applyBorder="1" applyAlignment="1"/>
    <xf numFmtId="0" fontId="3" fillId="0" borderId="10" xfId="0" applyFont="1" applyBorder="1"/>
    <xf numFmtId="14" fontId="0" fillId="0" borderId="10" xfId="0" applyNumberFormat="1" applyBorder="1"/>
    <xf numFmtId="14" fontId="0" fillId="0" borderId="11" xfId="0" applyNumberFormat="1" applyBorder="1"/>
    <xf numFmtId="0" fontId="0" fillId="0" borderId="12" xfId="0" applyBorder="1"/>
    <xf numFmtId="0" fontId="3" fillId="0" borderId="13" xfId="0" applyFont="1" applyBorder="1" applyAlignment="1"/>
    <xf numFmtId="0" fontId="3" fillId="0" borderId="13" xfId="0" applyFont="1" applyBorder="1"/>
    <xf numFmtId="14" fontId="0" fillId="0" borderId="13" xfId="0" applyNumberFormat="1" applyBorder="1"/>
    <xf numFmtId="14" fontId="0" fillId="0" borderId="14" xfId="0" applyNumberFormat="1" applyBorder="1"/>
    <xf numFmtId="0" fontId="1" fillId="0" borderId="15" xfId="0" applyFont="1" applyFill="1" applyBorder="1"/>
    <xf numFmtId="0" fontId="1" fillId="0" borderId="16" xfId="0" applyFont="1" applyFill="1" applyBorder="1"/>
    <xf numFmtId="0" fontId="1" fillId="0" borderId="17" xfId="0" applyFont="1" applyFill="1" applyBorder="1"/>
    <xf numFmtId="0" fontId="6" fillId="0" borderId="18" xfId="0" applyFont="1" applyFill="1" applyBorder="1" applyAlignment="1">
      <alignment horizontal="center" vertical="center"/>
    </xf>
    <xf numFmtId="14" fontId="6" fillId="0" borderId="19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1" fillId="3" borderId="15" xfId="0" applyFont="1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6" fillId="3" borderId="18" xfId="0" applyFont="1" applyFill="1" applyBorder="1" applyAlignment="1">
      <alignment horizontal="center" vertical="center"/>
    </xf>
    <xf numFmtId="14" fontId="6" fillId="3" borderId="19" xfId="0" applyNumberFormat="1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vertical="center"/>
    </xf>
    <xf numFmtId="0" fontId="1" fillId="0" borderId="18" xfId="0" applyFont="1" applyFill="1" applyBorder="1" applyAlignment="1">
      <alignment vertical="center"/>
    </xf>
    <xf numFmtId="14" fontId="0" fillId="4" borderId="17" xfId="0" applyNumberFormat="1" applyFill="1" applyBorder="1" applyAlignment="1">
      <alignment horizontal="right" vertical="center"/>
    </xf>
    <xf numFmtId="14" fontId="6" fillId="4" borderId="20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10" fontId="0" fillId="5" borderId="0" xfId="2" applyNumberFormat="1" applyFont="1" applyFill="1" applyAlignment="1"/>
    <xf numFmtId="10" fontId="0" fillId="0" borderId="0" xfId="2" applyNumberFormat="1" applyFont="1" applyFill="1" applyAlignment="1"/>
    <xf numFmtId="176" fontId="0" fillId="6" borderId="0" xfId="0" applyNumberFormat="1" applyFill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38" fontId="0" fillId="0" borderId="0" xfId="0" applyNumberFormat="1"/>
    <xf numFmtId="9" fontId="0" fillId="0" borderId="0" xfId="2" applyFont="1" applyAlignment="1"/>
    <xf numFmtId="0" fontId="0" fillId="0" borderId="21" xfId="0" applyNumberFormat="1" applyBorder="1" applyAlignment="1">
      <alignment horizontal="center" wrapText="1" shrinkToFit="1"/>
    </xf>
    <xf numFmtId="0" fontId="0" fillId="0" borderId="21" xfId="0" applyNumberFormat="1" applyFill="1" applyBorder="1" applyAlignment="1">
      <alignment horizontal="center" wrapText="1" shrinkToFit="1"/>
    </xf>
    <xf numFmtId="0" fontId="0" fillId="3" borderId="21" xfId="0" applyNumberFormat="1" applyFill="1" applyBorder="1" applyAlignment="1">
      <alignment horizontal="center" wrapText="1" shrinkToFit="1"/>
    </xf>
    <xf numFmtId="0" fontId="0" fillId="7" borderId="21" xfId="0" applyNumberFormat="1" applyFill="1" applyBorder="1" applyAlignment="1">
      <alignment horizontal="center" wrapText="1" shrinkToFit="1"/>
    </xf>
    <xf numFmtId="0" fontId="0" fillId="8" borderId="21" xfId="0" applyNumberFormat="1" applyFill="1" applyBorder="1" applyAlignment="1">
      <alignment horizontal="center" wrapText="1" shrinkToFit="1"/>
    </xf>
    <xf numFmtId="176" fontId="0" fillId="0" borderId="22" xfId="0" applyNumberFormat="1" applyBorder="1"/>
    <xf numFmtId="38" fontId="0" fillId="5" borderId="22" xfId="1" applyFont="1" applyFill="1" applyBorder="1" applyAlignment="1"/>
    <xf numFmtId="38" fontId="0" fillId="0" borderId="22" xfId="1" applyFont="1" applyBorder="1" applyAlignment="1"/>
    <xf numFmtId="10" fontId="0" fillId="0" borderId="22" xfId="2" applyNumberFormat="1" applyFont="1" applyBorder="1" applyAlignment="1"/>
    <xf numFmtId="10" fontId="0" fillId="0" borderId="22" xfId="2" applyNumberFormat="1" applyFont="1" applyFill="1" applyBorder="1" applyAlignment="1"/>
    <xf numFmtId="38" fontId="0" fillId="0" borderId="22" xfId="0" applyNumberFormat="1" applyBorder="1"/>
    <xf numFmtId="3" fontId="0" fillId="0" borderId="22" xfId="2" applyNumberFormat="1" applyFont="1" applyBorder="1" applyAlignment="1"/>
    <xf numFmtId="10" fontId="0" fillId="0" borderId="22" xfId="0" applyNumberFormat="1" applyBorder="1"/>
    <xf numFmtId="176" fontId="0" fillId="0" borderId="23" xfId="0" applyNumberFormat="1" applyBorder="1"/>
    <xf numFmtId="38" fontId="0" fillId="5" borderId="23" xfId="1" applyFont="1" applyFill="1" applyBorder="1" applyAlignment="1"/>
    <xf numFmtId="38" fontId="0" fillId="0" borderId="23" xfId="1" applyFont="1" applyBorder="1" applyAlignment="1"/>
    <xf numFmtId="38" fontId="0" fillId="0" borderId="23" xfId="0" applyNumberFormat="1" applyBorder="1"/>
    <xf numFmtId="10" fontId="0" fillId="0" borderId="23" xfId="2" applyNumberFormat="1" applyFont="1" applyBorder="1" applyAlignment="1"/>
    <xf numFmtId="10" fontId="0" fillId="0" borderId="23" xfId="2" applyNumberFormat="1" applyFont="1" applyFill="1" applyBorder="1" applyAlignment="1"/>
    <xf numFmtId="10" fontId="0" fillId="0" borderId="23" xfId="0" applyNumberFormat="1" applyBorder="1"/>
    <xf numFmtId="176" fontId="0" fillId="0" borderId="24" xfId="0" applyNumberFormat="1" applyBorder="1"/>
    <xf numFmtId="38" fontId="0" fillId="5" borderId="24" xfId="1" applyFont="1" applyFill="1" applyBorder="1" applyAlignment="1"/>
    <xf numFmtId="38" fontId="0" fillId="0" borderId="24" xfId="1" applyFont="1" applyBorder="1" applyAlignment="1"/>
    <xf numFmtId="10" fontId="0" fillId="0" borderId="24" xfId="2" applyNumberFormat="1" applyFont="1" applyBorder="1" applyAlignment="1"/>
    <xf numFmtId="10" fontId="0" fillId="0" borderId="24" xfId="2" applyNumberFormat="1" applyFont="1" applyFill="1" applyBorder="1" applyAlignment="1"/>
    <xf numFmtId="38" fontId="0" fillId="0" borderId="24" xfId="0" applyNumberFormat="1" applyBorder="1"/>
    <xf numFmtId="10" fontId="0" fillId="0" borderId="24" xfId="0" applyNumberFormat="1" applyBorder="1"/>
    <xf numFmtId="0" fontId="9" fillId="9" borderId="0" xfId="0" applyFont="1" applyFill="1" applyAlignment="1">
      <alignment horizontal="center" shrinkToFit="1"/>
    </xf>
    <xf numFmtId="0" fontId="9" fillId="10" borderId="0" xfId="0" applyFont="1" applyFill="1" applyAlignment="1">
      <alignment horizontal="center" shrinkToFit="1"/>
    </xf>
    <xf numFmtId="0" fontId="10" fillId="10" borderId="0" xfId="0" applyFont="1" applyFill="1" applyAlignment="1">
      <alignment horizontal="center" shrinkToFit="1"/>
    </xf>
    <xf numFmtId="0" fontId="0" fillId="0" borderId="0" xfId="0" applyAlignment="1">
      <alignment horizontal="center" shrinkToFit="1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0" fontId="9" fillId="11" borderId="0" xfId="0" applyFont="1" applyFill="1" applyAlignment="1">
      <alignment horizontal="center" shrinkToFit="1"/>
    </xf>
    <xf numFmtId="0" fontId="9" fillId="12" borderId="0" xfId="0" applyFont="1" applyFill="1" applyAlignment="1">
      <alignment horizontal="center" shrinkToFit="1"/>
    </xf>
    <xf numFmtId="0" fontId="10" fillId="12" borderId="0" xfId="0" applyFont="1" applyFill="1" applyAlignment="1">
      <alignment horizontal="center" shrinkToFit="1"/>
    </xf>
    <xf numFmtId="14" fontId="0" fillId="0" borderId="0" xfId="0" applyNumberFormat="1" applyAlignment="1">
      <alignment horizontal="left" indent="1"/>
    </xf>
    <xf numFmtId="38" fontId="9" fillId="0" borderId="0" xfId="0" applyNumberFormat="1" applyFont="1"/>
    <xf numFmtId="3" fontId="0" fillId="0" borderId="0" xfId="0" applyNumberFormat="1"/>
    <xf numFmtId="14" fontId="0" fillId="0" borderId="0" xfId="0" applyNumberFormat="1" applyAlignment="1">
      <alignment horizontal="right"/>
    </xf>
    <xf numFmtId="177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77" fontId="0" fillId="0" borderId="0" xfId="0" applyNumberFormat="1"/>
    <xf numFmtId="14" fontId="0" fillId="0" borderId="0" xfId="0" applyNumberFormat="1" applyAlignment="1">
      <alignment horizontal="left"/>
    </xf>
    <xf numFmtId="0" fontId="0" fillId="0" borderId="23" xfId="0" applyBorder="1"/>
    <xf numFmtId="0" fontId="0" fillId="0" borderId="24" xfId="0" applyBorder="1"/>
    <xf numFmtId="0" fontId="0" fillId="2" borderId="23" xfId="0" applyFill="1" applyBorder="1"/>
    <xf numFmtId="0" fontId="0" fillId="2" borderId="24" xfId="0" applyFill="1" applyBorder="1"/>
    <xf numFmtId="0" fontId="5" fillId="0" borderId="22" xfId="0" applyFont="1" applyBorder="1"/>
    <xf numFmtId="0" fontId="0" fillId="0" borderId="0" xfId="0" pivotButton="1"/>
    <xf numFmtId="0" fontId="0" fillId="4" borderId="0" xfId="0" applyFill="1"/>
    <xf numFmtId="22" fontId="0" fillId="0" borderId="0" xfId="0" applyNumberForma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</cellXfs>
  <cellStyles count="3">
    <cellStyle name="パーセント" xfId="2" builtinId="5"/>
    <cellStyle name="桁区切り" xfId="1" builtinId="6"/>
    <cellStyle name="標準" xfId="0" builtinId="0"/>
  </cellStyles>
  <dxfs count="1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27" formatCode="m/d/yyyy\ h:mm"/>
    </dxf>
    <dxf>
      <numFmt numFmtId="27" formatCode="m/d/yyyy\ h:mm"/>
    </dxf>
    <dxf>
      <alignment horizontal="general" vertical="bottom" textRotation="0" wrapText="0" indent="0" justifyLastLine="0" shrinkToFit="0" readingOrder="0"/>
    </dxf>
    <dxf>
      <numFmt numFmtId="27" formatCode="m/d/yyyy\ h:mm"/>
    </dxf>
    <dxf>
      <numFmt numFmtId="27" formatCode="m/d/yyyy\ h:mm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FFCC99"/>
      <color rgb="FFFFCCFF"/>
      <color rgb="FFCC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[abc.xlsm]グラフ!ﾋﾟﾎﾞｯﾄﾃｰﾌﾞﾙ2</c:name>
    <c:fmtId val="1"/>
  </c:pivotSource>
  <c:chart>
    <c:autoTitleDeleted val="1"/>
    <c:pivotFmts>
      <c:pivotFmt>
        <c:idx val="0"/>
        <c:spPr>
          <a:ln w="12700">
            <a:solidFill>
              <a:schemeClr val="bg1"/>
            </a:solidFill>
          </a:ln>
        </c:spPr>
        <c:marker>
          <c:symbol val="none"/>
        </c:marker>
      </c:pivotFmt>
      <c:pivotFmt>
        <c:idx val="1"/>
        <c:spPr>
          <a:ln w="12700">
            <a:solidFill>
              <a:schemeClr val="bg1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グラフ!$B$4</c:f>
              <c:strCache>
                <c:ptCount val="1"/>
                <c:pt idx="0">
                  <c:v>集計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invertIfNegative val="0"/>
          <c:cat>
            <c:strRef>
              <c:f>グラフ!$A$5:$A$29</c:f>
              <c:strCache>
                <c:ptCount val="24"/>
                <c:pt idx="0">
                  <c:v>2016/2/1</c:v>
                </c:pt>
                <c:pt idx="1">
                  <c:v>2016/2/2</c:v>
                </c:pt>
                <c:pt idx="2">
                  <c:v>2016/2/4</c:v>
                </c:pt>
                <c:pt idx="3">
                  <c:v>2016/2/5</c:v>
                </c:pt>
                <c:pt idx="4">
                  <c:v>2016/2/10</c:v>
                </c:pt>
                <c:pt idx="5">
                  <c:v>2016/2/15</c:v>
                </c:pt>
                <c:pt idx="6">
                  <c:v>2016/2/16</c:v>
                </c:pt>
                <c:pt idx="7">
                  <c:v>2016/2/18</c:v>
                </c:pt>
                <c:pt idx="8">
                  <c:v>2016/2/19</c:v>
                </c:pt>
                <c:pt idx="9">
                  <c:v>2016/2/22</c:v>
                </c:pt>
                <c:pt idx="10">
                  <c:v>2016/2/25</c:v>
                </c:pt>
                <c:pt idx="11">
                  <c:v>2016/2/29</c:v>
                </c:pt>
                <c:pt idx="12">
                  <c:v>2016/3/1</c:v>
                </c:pt>
                <c:pt idx="13">
                  <c:v>2016/3/2</c:v>
                </c:pt>
                <c:pt idx="14">
                  <c:v>2016/3/3</c:v>
                </c:pt>
                <c:pt idx="15">
                  <c:v>2016/3/4</c:v>
                </c:pt>
                <c:pt idx="16">
                  <c:v>2016/3/7</c:v>
                </c:pt>
                <c:pt idx="17">
                  <c:v>2016/3/8</c:v>
                </c:pt>
                <c:pt idx="18">
                  <c:v>2016/3/9</c:v>
                </c:pt>
                <c:pt idx="19">
                  <c:v>2016/3/10</c:v>
                </c:pt>
                <c:pt idx="20">
                  <c:v>2016/3/11</c:v>
                </c:pt>
                <c:pt idx="21">
                  <c:v>2016/3/17</c:v>
                </c:pt>
                <c:pt idx="22">
                  <c:v>2016/3/28</c:v>
                </c:pt>
                <c:pt idx="23">
                  <c:v>2016/3/29</c:v>
                </c:pt>
              </c:strCache>
            </c:strRef>
          </c:cat>
          <c:val>
            <c:numRef>
              <c:f>グラフ!$B$5:$B$29</c:f>
              <c:numCache>
                <c:formatCode>#,##0_);[Red]\(#,##0\)</c:formatCode>
                <c:ptCount val="24"/>
                <c:pt idx="0">
                  <c:v>16686</c:v>
                </c:pt>
                <c:pt idx="1">
                  <c:v>-1050</c:v>
                </c:pt>
                <c:pt idx="2">
                  <c:v>6764</c:v>
                </c:pt>
                <c:pt idx="3">
                  <c:v>15372</c:v>
                </c:pt>
                <c:pt idx="4">
                  <c:v>24148</c:v>
                </c:pt>
                <c:pt idx="5">
                  <c:v>15074</c:v>
                </c:pt>
                <c:pt idx="6">
                  <c:v>1937</c:v>
                </c:pt>
                <c:pt idx="7">
                  <c:v>13326</c:v>
                </c:pt>
                <c:pt idx="8">
                  <c:v>923</c:v>
                </c:pt>
                <c:pt idx="9">
                  <c:v>21179</c:v>
                </c:pt>
                <c:pt idx="10">
                  <c:v>11806</c:v>
                </c:pt>
                <c:pt idx="11">
                  <c:v>7375</c:v>
                </c:pt>
                <c:pt idx="12">
                  <c:v>4242</c:v>
                </c:pt>
                <c:pt idx="13">
                  <c:v>-6394</c:v>
                </c:pt>
                <c:pt idx="14">
                  <c:v>4727</c:v>
                </c:pt>
                <c:pt idx="15">
                  <c:v>8223</c:v>
                </c:pt>
                <c:pt idx="16">
                  <c:v>1074</c:v>
                </c:pt>
                <c:pt idx="17">
                  <c:v>4674</c:v>
                </c:pt>
                <c:pt idx="18">
                  <c:v>6582</c:v>
                </c:pt>
                <c:pt idx="19">
                  <c:v>4966</c:v>
                </c:pt>
                <c:pt idx="20">
                  <c:v>11074</c:v>
                </c:pt>
                <c:pt idx="21">
                  <c:v>9426</c:v>
                </c:pt>
                <c:pt idx="22">
                  <c:v>16551</c:v>
                </c:pt>
                <c:pt idx="23">
                  <c:v>10019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3-43C4-B6DF-16232C16D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27132672"/>
        <c:axId val="327134208"/>
      </c:barChart>
      <c:catAx>
        <c:axId val="32713267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low"/>
        <c:crossAx val="327134208"/>
        <c:crosses val="autoZero"/>
        <c:auto val="1"/>
        <c:lblAlgn val="ctr"/>
        <c:lblOffset val="100"/>
        <c:noMultiLvlLbl val="0"/>
      </c:catAx>
      <c:valAx>
        <c:axId val="327134208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327132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184150</xdr:colOff>
          <xdr:row>1</xdr:row>
          <xdr:rowOff>82550</xdr:rowOff>
        </xdr:from>
        <xdr:to>
          <xdr:col>9</xdr:col>
          <xdr:colOff>381000</xdr:colOff>
          <xdr:row>2</xdr:row>
          <xdr:rowOff>107950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95250</xdr:rowOff>
        </xdr:from>
        <xdr:to>
          <xdr:col>9</xdr:col>
          <xdr:colOff>476250</xdr:colOff>
          <xdr:row>6</xdr:row>
          <xdr:rowOff>107950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3</xdr:row>
          <xdr:rowOff>88900</xdr:rowOff>
        </xdr:from>
        <xdr:to>
          <xdr:col>10</xdr:col>
          <xdr:colOff>374650</xdr:colOff>
          <xdr:row>4</xdr:row>
          <xdr:rowOff>82550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テスト保存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215900</xdr:colOff>
          <xdr:row>4</xdr:row>
          <xdr:rowOff>368300</xdr:rowOff>
        </xdr:from>
        <xdr:to>
          <xdr:col>10</xdr:col>
          <xdr:colOff>412750</xdr:colOff>
          <xdr:row>5</xdr:row>
          <xdr:rowOff>69850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234950</xdr:colOff>
          <xdr:row>8</xdr:row>
          <xdr:rowOff>19050</xdr:rowOff>
        </xdr:from>
        <xdr:to>
          <xdr:col>12</xdr:col>
          <xdr:colOff>107950</xdr:colOff>
          <xdr:row>10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2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新規ファイル確認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22</xdr:row>
          <xdr:rowOff>44450</xdr:rowOff>
        </xdr:from>
        <xdr:to>
          <xdr:col>9</xdr:col>
          <xdr:colOff>850900</xdr:colOff>
          <xdr:row>23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クエリ更新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190500</xdr:colOff>
          <xdr:row>6</xdr:row>
          <xdr:rowOff>0</xdr:rowOff>
        </xdr:from>
        <xdr:to>
          <xdr:col>34</xdr:col>
          <xdr:colOff>63500</xdr:colOff>
          <xdr:row>8</xdr:row>
          <xdr:rowOff>6350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Data2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76201</xdr:colOff>
      <xdr:row>2</xdr:row>
      <xdr:rowOff>76200</xdr:rowOff>
    </xdr:from>
    <xdr:to>
      <xdr:col>17</xdr:col>
      <xdr:colOff>352426</xdr:colOff>
      <xdr:row>19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成者" refreshedDate="43731.460254861115" createdVersion="4" refreshedVersion="6" minRefreshableVersion="3" recordCount="34" xr:uid="{00000000-000A-0000-FFFF-FFFF06000000}">
  <cacheSource type="worksheet">
    <worksheetSource ref="D1:O1048576" sheet="実現損益"/>
  </cacheSource>
  <cacheFields count="12">
    <cacheField name="約定日" numFmtId="0">
      <sharedItems containsNonDate="0" containsDate="1" containsString="0" containsBlank="1" minDate="2016-02-01T00:00:00" maxDate="2016-03-30T00:00:00" count="25">
        <d v="2016-02-01T00:00:00"/>
        <d v="2016-02-02T00:00:00"/>
        <d v="2016-02-04T00:00:00"/>
        <d v="2016-02-05T00:00:00"/>
        <d v="2016-02-10T00:00:00"/>
        <d v="2016-02-15T00:00:00"/>
        <d v="2016-02-16T00:00:00"/>
        <d v="2016-02-18T00:00:00"/>
        <d v="2016-02-19T00:00:00"/>
        <d v="2016-02-22T00:00:00"/>
        <d v="2016-02-25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7T00:00:00"/>
        <d v="2016-03-28T00:00:00"/>
        <d v="2016-03-29T00:00:00"/>
        <m/>
      </sharedItems>
    </cacheField>
    <cacheField name="受渡日" numFmtId="0">
      <sharedItems containsNonDate="0" containsDate="1" containsString="0" containsBlank="1" minDate="2016-02-04T00:00:00" maxDate="2016-04-02T00:00:00"/>
    </cacheField>
    <cacheField name="銘柄コード" numFmtId="0">
      <sharedItems containsString="0" containsBlank="1" containsNumber="1" containsInteger="1" minValue="1808" maxValue="9722"/>
    </cacheField>
    <cacheField name="銘柄名" numFmtId="0">
      <sharedItems containsBlank="1"/>
    </cacheField>
    <cacheField name="口座" numFmtId="0">
      <sharedItems containsBlank="1"/>
    </cacheField>
    <cacheField name="信用区分" numFmtId="0">
      <sharedItems containsBlank="1"/>
    </cacheField>
    <cacheField name="取引" numFmtId="0">
      <sharedItems containsBlank="1"/>
    </cacheField>
    <cacheField name="数量[株]" numFmtId="0">
      <sharedItems containsString="0" containsBlank="1" containsNumber="1" containsInteger="1" minValue="100" maxValue="3000"/>
    </cacheField>
    <cacheField name="売却/決済単価[円]" numFmtId="0">
      <sharedItems containsString="0" containsBlank="1" containsNumber="1" containsInteger="1" minValue="243" maxValue="9660"/>
    </cacheField>
    <cacheField name="売却/決済額[円]" numFmtId="0">
      <sharedItems containsString="0" containsBlank="1" containsNumber="1" containsInteger="1" minValue="197666" maxValue="965343"/>
    </cacheField>
    <cacheField name="平均取得価額[円]" numFmtId="0">
      <sharedItems containsString="0" containsBlank="1" containsNumber="1" minValue="242.23" maxValue="9486.57"/>
    </cacheField>
    <cacheField name="実現損益[円]" numFmtId="0">
      <sharedItems containsString="0" containsBlank="1" containsNumber="1" containsInteger="1" minValue="-9314" maxValue="24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成者" refreshedDate="43731.460255092592" createdVersion="4" refreshedVersion="6" minRefreshableVersion="3" recordCount="72" xr:uid="{00000000-000A-0000-FFFF-FFFF05000000}">
  <cacheSource type="worksheet">
    <worksheetSource ref="A1:AE1048576" sheet="取引履歴"/>
  </cacheSource>
  <cacheFields count="31">
    <cacheField name="年" numFmtId="0">
      <sharedItems containsString="0" containsBlank="1" containsNumber="1" containsInteger="1" minValue="2016" maxValue="2016" count="2">
        <n v="2016"/>
        <m/>
      </sharedItems>
    </cacheField>
    <cacheField name="月" numFmtId="0">
      <sharedItems containsString="0" containsBlank="1" containsNumber="1" containsInteger="1" minValue="2" maxValue="3" count="3">
        <n v="2"/>
        <m/>
        <n v="3" u="1"/>
      </sharedItems>
    </cacheField>
    <cacheField name="日" numFmtId="0">
      <sharedItems containsString="0" containsBlank="1" containsNumber="1" containsInteger="1" minValue="1" maxValue="29"/>
    </cacheField>
    <cacheField name="約定日" numFmtId="0">
      <sharedItems containsNonDate="0" containsDate="1" containsString="0" containsBlank="1" minDate="2016-02-01T00:00:00" maxDate="2016-04-01T00:00:00" count="34">
        <d v="2016-02-01T00:00:00"/>
        <d v="2016-02-02T00:00:00"/>
        <d v="2016-02-04T00:00:00"/>
        <d v="2016-02-05T00:00:00"/>
        <d v="2016-02-08T00:00:00"/>
        <d v="2016-02-09T00:00:00"/>
        <d v="2016-02-10T00:00:00"/>
        <d v="2016-02-15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6T00:00:00"/>
        <d v="2016-03-17T00:00:00"/>
        <d v="2016-03-28T00:00:00"/>
        <d v="2016-03-29T00:00:00"/>
        <d v="2016-03-31T00:00:00"/>
        <m/>
      </sharedItems>
    </cacheField>
    <cacheField name="受渡日" numFmtId="0">
      <sharedItems containsNonDate="0" containsDate="1" containsString="0" containsBlank="1" minDate="2016-02-04T00:00:00" maxDate="2016-04-06T00:00:00"/>
    </cacheField>
    <cacheField name="銘柄コード" numFmtId="0">
      <sharedItems containsString="0" containsBlank="1" containsNumber="1" containsInteger="1" minValue="1808" maxValue="9722"/>
    </cacheField>
    <cacheField name="銘柄名" numFmtId="0">
      <sharedItems containsBlank="1" count="22">
        <s v="共立メンテナンス"/>
        <s v="エーザイ"/>
        <s v="本田技研"/>
        <s v="ＪＦＥホールディングス"/>
        <s v="森永乳業"/>
        <s v="日本郵船"/>
        <s v="奥村組"/>
        <s v="パナソニック"/>
        <s v="広島銀行"/>
        <s v="鎌倉新書"/>
        <s v="藤田観光"/>
        <s v="新日鐵住金"/>
        <s v="ヤマトホールディングス"/>
        <s v="アインホールディングス"/>
        <s v="長谷工コーポレーシヨン"/>
        <s v="富士石油"/>
        <s v="三越伊勢丹ＨＤ"/>
        <s v="商船三井"/>
        <s v="豊田合成"/>
        <s v="静岡銀行"/>
        <s v="ＡＮＡホールディングス"/>
        <m/>
      </sharedItems>
    </cacheField>
    <cacheField name="市場名称" numFmtId="0">
      <sharedItems containsBlank="1"/>
    </cacheField>
    <cacheField name="口座区分" numFmtId="0">
      <sharedItems containsBlank="1"/>
    </cacheField>
    <cacheField name="取引区分" numFmtId="0">
      <sharedItems containsBlank="1"/>
    </cacheField>
    <cacheField name="売買区分" numFmtId="0">
      <sharedItems containsBlank="1" count="3">
        <s v="買付"/>
        <s v="売付"/>
        <m/>
      </sharedItems>
    </cacheField>
    <cacheField name="信用区分" numFmtId="0">
      <sharedItems containsBlank="1"/>
    </cacheField>
    <cacheField name="弁済期限" numFmtId="0">
      <sharedItems containsBlank="1"/>
    </cacheField>
    <cacheField name="数量［株］" numFmtId="0">
      <sharedItems containsString="0" containsBlank="1" containsNumber="1" containsInteger="1" minValue="100" maxValue="3000"/>
    </cacheField>
    <cacheField name="単価［円］" numFmtId="0">
      <sharedItems containsString="0" containsBlank="1" containsNumber="1" containsInteger="1" minValue="242" maxValue="9660"/>
    </cacheField>
    <cacheField name="手数料［円］" numFmtId="0">
      <sharedItems containsString="0" containsBlank="1" containsNumber="1" containsInteger="1" minValue="0" maxValue="1620"/>
    </cacheField>
    <cacheField name="税金等［円］" numFmtId="0">
      <sharedItems containsString="0" containsBlank="1" containsNumber="1" containsInteger="1" minValue="0" maxValue="128"/>
    </cacheField>
    <cacheField name="諸費用［円］" numFmtId="0">
      <sharedItems containsString="0" containsBlank="1" containsNumber="1" containsInteger="1" minValue="0" maxValue="0"/>
    </cacheField>
    <cacheField name="税区分" numFmtId="0">
      <sharedItems containsBlank="1"/>
    </cacheField>
    <cacheField name="受渡金額［円］" numFmtId="0">
      <sharedItems containsString="0" containsBlank="1" containsNumber="1" containsInteger="1" minValue="196108" maxValue="965343"/>
    </cacheField>
    <cacheField name="建約定日" numFmtId="0">
      <sharedItems containsBlank="1"/>
    </cacheField>
    <cacheField name="建単価［円］" numFmtId="0">
      <sharedItems containsString="0" containsBlank="1" containsNumber="1" containsInteger="1" minValue="0" maxValue="0"/>
    </cacheField>
    <cacheField name="建手数料［円］" numFmtId="0">
      <sharedItems containsString="0" containsBlank="1" containsNumber="1" containsInteger="1" minValue="0" maxValue="0"/>
    </cacheField>
    <cacheField name="建手数料消費税［円］" numFmtId="0">
      <sharedItems containsString="0" containsBlank="1" containsNumber="1" containsInteger="1" minValue="0" maxValue="0"/>
    </cacheField>
    <cacheField name="金利（支払）〔円〕" numFmtId="0">
      <sharedItems containsString="0" containsBlank="1" containsNumber="1" containsInteger="1" minValue="0" maxValue="0"/>
    </cacheField>
    <cacheField name="金利（受取）〔円〕" numFmtId="0">
      <sharedItems containsString="0" containsBlank="1" containsNumber="1" containsInteger="1" minValue="0" maxValue="0"/>
    </cacheField>
    <cacheField name="逆日歩／特別空売り料（支払）〔円〕" numFmtId="0">
      <sharedItems containsString="0" containsBlank="1" containsNumber="1" containsInteger="1" minValue="0" maxValue="0"/>
    </cacheField>
    <cacheField name="逆日歩（受取）〔円〕" numFmtId="0">
      <sharedItems containsString="0" containsBlank="1" containsNumber="1" containsInteger="1" minValue="0" maxValue="0"/>
    </cacheField>
    <cacheField name="貸株料" numFmtId="0">
      <sharedItems containsString="0" containsBlank="1" containsNumber="1" containsInteger="1" minValue="0" maxValue="0"/>
    </cacheField>
    <cacheField name="事務管理費〔円〕（税抜）" numFmtId="0">
      <sharedItems containsString="0" containsBlank="1" containsNumber="1" containsInteger="1" minValue="0" maxValue="0"/>
    </cacheField>
    <cacheField name="名義書換料〔円〕（税抜）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成者" refreshedDate="43731.460255208331" createdVersion="4" refreshedVersion="6" minRefreshableVersion="3" recordCount="34" xr:uid="{00000000-000A-0000-FFFF-FFFF04000000}">
  <cacheSource type="worksheet">
    <worksheetSource ref="A1:O1048576" sheet="実現損益"/>
  </cacheSource>
  <cacheFields count="15">
    <cacheField name="年" numFmtId="0">
      <sharedItems containsString="0" containsBlank="1" containsNumber="1" containsInteger="1" minValue="2016" maxValue="2016" count="2">
        <n v="2016"/>
        <m/>
      </sharedItems>
    </cacheField>
    <cacheField name="月" numFmtId="0">
      <sharedItems containsString="0" containsBlank="1" containsNumber="1" containsInteger="1" minValue="2" maxValue="3" count="3">
        <n v="2"/>
        <m/>
        <n v="3" u="1"/>
      </sharedItems>
    </cacheField>
    <cacheField name="日" numFmtId="0">
      <sharedItems containsString="0" containsBlank="1" containsNumber="1" containsInteger="1" minValue="1" maxValue="29"/>
    </cacheField>
    <cacheField name="約定日" numFmtId="0">
      <sharedItems containsNonDate="0" containsDate="1" containsString="0" containsBlank="1" minDate="2016-02-01T00:00:00" maxDate="2016-03-30T00:00:00" count="25">
        <d v="2016-02-01T00:00:00"/>
        <d v="2016-02-02T00:00:00"/>
        <d v="2016-02-04T00:00:00"/>
        <d v="2016-02-05T00:00:00"/>
        <d v="2016-02-10T00:00:00"/>
        <d v="2016-02-15T00:00:00"/>
        <d v="2016-02-16T00:00:00"/>
        <d v="2016-02-18T00:00:00"/>
        <d v="2016-02-19T00:00:00"/>
        <d v="2016-02-22T00:00:00"/>
        <d v="2016-02-25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7T00:00:00"/>
        <d v="2016-03-28T00:00:00"/>
        <d v="2016-03-29T00:00:00"/>
        <m/>
      </sharedItems>
    </cacheField>
    <cacheField name="受渡日" numFmtId="0">
      <sharedItems containsNonDate="0" containsDate="1" containsString="0" containsBlank="1" minDate="2016-02-04T00:00:00" maxDate="2016-04-02T00:00:00"/>
    </cacheField>
    <cacheField name="銘柄コード" numFmtId="0">
      <sharedItems containsString="0" containsBlank="1" containsNumber="1" containsInteger="1" minValue="1808" maxValue="9722"/>
    </cacheField>
    <cacheField name="銘柄名" numFmtId="0">
      <sharedItems containsBlank="1" count="20">
        <s v="共立メンテナンス"/>
        <s v="エーザイ"/>
        <s v="本田技研"/>
        <s v="ＪＦＥホールディングス"/>
        <s v="森永乳業"/>
        <s v="奥村組"/>
        <s v="パナソニック"/>
        <s v="広島銀行"/>
        <s v="鎌倉新書"/>
        <s v="藤田観光"/>
        <s v="新日鐵住金"/>
        <s v="アインホールディングス"/>
        <s v="長谷工コーポレーシヨン"/>
        <s v="富士石油"/>
        <s v="ヤマトホールディングス"/>
        <s v="三越伊勢丹ＨＤ"/>
        <s v="日本郵船"/>
        <s v="商船三井"/>
        <s v="豊田合成"/>
        <m/>
      </sharedItems>
    </cacheField>
    <cacheField name="口座" numFmtId="0">
      <sharedItems containsBlank="1"/>
    </cacheField>
    <cacheField name="信用区分" numFmtId="0">
      <sharedItems containsBlank="1"/>
    </cacheField>
    <cacheField name="取引" numFmtId="0">
      <sharedItems containsBlank="1"/>
    </cacheField>
    <cacheField name="数量[株]" numFmtId="0">
      <sharedItems containsString="0" containsBlank="1" containsNumber="1" containsInteger="1" minValue="100" maxValue="3000"/>
    </cacheField>
    <cacheField name="売却/決済単価[円]" numFmtId="0">
      <sharedItems containsString="0" containsBlank="1" containsNumber="1" containsInteger="1" minValue="243" maxValue="9660"/>
    </cacheField>
    <cacheField name="売却/決済額[円]" numFmtId="0">
      <sharedItems containsString="0" containsBlank="1" containsNumber="1" containsInteger="1" minValue="197666" maxValue="965343"/>
    </cacheField>
    <cacheField name="平均取得価額[円]" numFmtId="0">
      <sharedItems containsString="0" containsBlank="1" containsNumber="1" minValue="242.23" maxValue="9486.57"/>
    </cacheField>
    <cacheField name="実現損益[円]" numFmtId="0">
      <sharedItems containsString="0" containsBlank="1" containsNumber="1" containsInteger="1" minValue="-9314" maxValue="24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d v="2016-02-04T00:00:00"/>
    <n v="9616"/>
    <s v="共立メンテナンス"/>
    <s v="特定"/>
    <s v="-"/>
    <s v="売付"/>
    <n v="100"/>
    <n v="9660"/>
    <n v="965343"/>
    <n v="9486.57"/>
    <n v="16686"/>
  </r>
  <r>
    <x v="1"/>
    <d v="2016-02-05T00:00:00"/>
    <n v="4523"/>
    <s v="エーザイ"/>
    <s v="特定"/>
    <s v="-"/>
    <s v="売付"/>
    <n v="100"/>
    <n v="7800"/>
    <n v="779343"/>
    <n v="7766.57"/>
    <n v="2686"/>
  </r>
  <r>
    <x v="1"/>
    <d v="2016-02-05T00:00:00"/>
    <n v="7267"/>
    <s v="本田技研"/>
    <s v="特定"/>
    <s v="-"/>
    <s v="売付"/>
    <n v="100"/>
    <n v="3400"/>
    <n v="339632"/>
    <n v="3433.68"/>
    <n v="-3736"/>
  </r>
  <r>
    <x v="2"/>
    <d v="2016-02-09T00:00:00"/>
    <n v="5411"/>
    <s v="ＪＦＥホールディングス"/>
    <s v="特定"/>
    <s v="-"/>
    <s v="売付"/>
    <n v="300"/>
    <n v="1480"/>
    <n v="443632"/>
    <n v="1456.22"/>
    <n v="6764"/>
  </r>
  <r>
    <x v="3"/>
    <d v="2016-02-10T00:00:00"/>
    <n v="2264"/>
    <s v="森永乳業"/>
    <s v="特定"/>
    <s v="-"/>
    <s v="売付"/>
    <n v="1000"/>
    <n v="532"/>
    <n v="531343"/>
    <n v="540.65"/>
    <n v="-9314"/>
  </r>
  <r>
    <x v="3"/>
    <d v="2016-02-10T00:00:00"/>
    <n v="2264"/>
    <s v="森永乳業"/>
    <s v="特定"/>
    <s v="-"/>
    <s v="売付"/>
    <n v="1000"/>
    <n v="566"/>
    <n v="565343"/>
    <n v="540.65"/>
    <n v="24686"/>
  </r>
  <r>
    <x v="4"/>
    <d v="2016-02-16T00:00:00"/>
    <n v="1833"/>
    <s v="奥村組"/>
    <s v="特定"/>
    <s v="-"/>
    <s v="売付"/>
    <n v="1000"/>
    <n v="623"/>
    <n v="622074"/>
    <n v="597.91999999999996"/>
    <n v="24148"/>
  </r>
  <r>
    <x v="5"/>
    <d v="2016-02-18T00:00:00"/>
    <n v="9616"/>
    <s v="共立メンテナンス"/>
    <s v="特定"/>
    <s v="-"/>
    <s v="売付"/>
    <n v="100"/>
    <n v="7900"/>
    <n v="790000"/>
    <n v="7749.26"/>
    <n v="15074"/>
  </r>
  <r>
    <x v="6"/>
    <d v="2016-02-19T00:00:00"/>
    <n v="6752"/>
    <s v="パナソニック"/>
    <s v="特定"/>
    <s v="-"/>
    <s v="売付"/>
    <n v="400"/>
    <n v="906"/>
    <n v="362400"/>
    <n v="901.15"/>
    <n v="1937"/>
  </r>
  <r>
    <x v="7"/>
    <d v="2016-02-23T00:00:00"/>
    <n v="8379"/>
    <s v="広島銀行"/>
    <s v="特定"/>
    <s v="-"/>
    <s v="売付"/>
    <n v="2000"/>
    <n v="433"/>
    <n v="864252"/>
    <n v="425.46"/>
    <n v="13326"/>
  </r>
  <r>
    <x v="8"/>
    <d v="2016-02-24T00:00:00"/>
    <n v="6184"/>
    <s v="鎌倉新書"/>
    <s v="特定"/>
    <s v="-"/>
    <s v="売付"/>
    <n v="100"/>
    <n v="2040"/>
    <n v="203735"/>
    <n v="2028.12"/>
    <n v="923"/>
  </r>
  <r>
    <x v="9"/>
    <d v="2016-02-25T00:00:00"/>
    <n v="9616"/>
    <s v="共立メンテナンス"/>
    <s v="特定"/>
    <s v="-"/>
    <s v="売付"/>
    <n v="100"/>
    <n v="8580"/>
    <n v="858000"/>
    <n v="8483.4"/>
    <n v="9660"/>
  </r>
  <r>
    <x v="9"/>
    <d v="2016-02-25T00:00:00"/>
    <n v="9722"/>
    <s v="藤田観光"/>
    <s v="特定"/>
    <s v="-"/>
    <s v="売付"/>
    <n v="1000"/>
    <n v="520"/>
    <n v="519180"/>
    <n v="507.66"/>
    <n v="11519"/>
  </r>
  <r>
    <x v="10"/>
    <d v="2016-03-01T00:00:00"/>
    <n v="5401"/>
    <s v="新日鐵住金"/>
    <s v="特定"/>
    <s v="-"/>
    <s v="売付"/>
    <n v="100"/>
    <n v="1980"/>
    <n v="197666"/>
    <n v="1961.08"/>
    <n v="1558"/>
  </r>
  <r>
    <x v="10"/>
    <d v="2016-03-01T00:00:00"/>
    <n v="9627"/>
    <s v="アインホールディングス"/>
    <s v="特定"/>
    <s v="-"/>
    <s v="売付"/>
    <n v="100"/>
    <n v="5120"/>
    <n v="512000"/>
    <n v="5108.6400000000003"/>
    <n v="1136"/>
  </r>
  <r>
    <x v="10"/>
    <d v="2016-03-01T00:00:00"/>
    <n v="9722"/>
    <s v="藤田観光"/>
    <s v="特定"/>
    <s v="-"/>
    <s v="売付"/>
    <n v="1000"/>
    <n v="569"/>
    <n v="568038"/>
    <n v="558.91999999999996"/>
    <n v="9112"/>
  </r>
  <r>
    <x v="11"/>
    <d v="2016-03-03T00:00:00"/>
    <n v="1808"/>
    <s v="長谷工コーポレーシヨン"/>
    <s v="特定"/>
    <s v="-"/>
    <s v="売付"/>
    <n v="300"/>
    <n v="1010"/>
    <n v="302438"/>
    <n v="983.54"/>
    <n v="7375"/>
  </r>
  <r>
    <x v="12"/>
    <d v="2016-03-04T00:00:00"/>
    <n v="5017"/>
    <s v="富士石油"/>
    <s v="特定"/>
    <s v="-"/>
    <s v="売付"/>
    <n v="1000"/>
    <n v="321"/>
    <n v="321000"/>
    <n v="318.58"/>
    <n v="2418"/>
  </r>
  <r>
    <x v="12"/>
    <d v="2016-03-04T00:00:00"/>
    <n v="9616"/>
    <s v="共立メンテナンス"/>
    <s v="特定"/>
    <s v="-"/>
    <s v="売付"/>
    <n v="100"/>
    <n v="8650"/>
    <n v="863422"/>
    <n v="8615.98"/>
    <n v="1824"/>
  </r>
  <r>
    <x v="13"/>
    <d v="2016-03-07T00:00:00"/>
    <n v="9064"/>
    <s v="ヤマトホールディングス"/>
    <s v="特定"/>
    <s v="-"/>
    <s v="売付"/>
    <n v="100"/>
    <n v="2370"/>
    <n v="236661"/>
    <n v="2430.5500000000002"/>
    <n v="-6394"/>
  </r>
  <r>
    <x v="14"/>
    <d v="2016-03-08T00:00:00"/>
    <n v="3099"/>
    <s v="三越伊勢丹ＨＤ"/>
    <s v="特定"/>
    <s v="-"/>
    <s v="売付"/>
    <n v="300"/>
    <n v="1386"/>
    <n v="415114"/>
    <n v="1367.95"/>
    <n v="4727"/>
  </r>
  <r>
    <x v="15"/>
    <d v="2016-03-09T00:00:00"/>
    <n v="5411"/>
    <s v="ＪＦＥホールディングス"/>
    <s v="特定"/>
    <s v="-"/>
    <s v="売付"/>
    <n v="400"/>
    <n v="1620"/>
    <n v="648000"/>
    <n v="1599.44"/>
    <n v="8223"/>
  </r>
  <r>
    <x v="16"/>
    <d v="2016-03-10T00:00:00"/>
    <n v="9101"/>
    <s v="日本郵船"/>
    <s v="特定"/>
    <s v="-"/>
    <s v="売付"/>
    <n v="2000"/>
    <n v="243"/>
    <n v="485537"/>
    <n v="242.23"/>
    <n v="1074"/>
  </r>
  <r>
    <x v="17"/>
    <d v="2016-03-11T00:00:00"/>
    <n v="5411"/>
    <s v="ＪＦＥホールディングス"/>
    <s v="特定"/>
    <s v="-"/>
    <s v="売付"/>
    <n v="400"/>
    <n v="1623"/>
    <n v="649200"/>
    <n v="1611.31"/>
    <n v="4674"/>
  </r>
  <r>
    <x v="18"/>
    <d v="2016-03-14T00:00:00"/>
    <n v="5411"/>
    <s v="ＪＦＥホールディングス"/>
    <s v="特定"/>
    <s v="-"/>
    <s v="売付"/>
    <n v="400"/>
    <n v="1541"/>
    <n v="616400"/>
    <n v="1524.54"/>
    <n v="6582"/>
  </r>
  <r>
    <x v="19"/>
    <d v="2016-03-15T00:00:00"/>
    <n v="1808"/>
    <s v="長谷工コーポレーシヨン"/>
    <s v="特定"/>
    <s v="-"/>
    <s v="売付"/>
    <n v="300"/>
    <n v="1019"/>
    <n v="305394"/>
    <n v="1010.02"/>
    <n v="2386"/>
  </r>
  <r>
    <x v="19"/>
    <d v="2016-03-15T00:00:00"/>
    <n v="5411"/>
    <s v="ＪＦＥホールディングス"/>
    <s v="特定"/>
    <s v="-"/>
    <s v="売付"/>
    <n v="400"/>
    <n v="1547"/>
    <n v="618800"/>
    <n v="1540.55"/>
    <n v="2580"/>
  </r>
  <r>
    <x v="20"/>
    <d v="2016-03-16T00:00:00"/>
    <n v="9104"/>
    <s v="商船三井"/>
    <s v="特定"/>
    <s v="-"/>
    <s v="売付"/>
    <n v="3000"/>
    <n v="249"/>
    <n v="747000"/>
    <n v="245.3"/>
    <n v="11074"/>
  </r>
  <r>
    <x v="21"/>
    <d v="2016-03-23T00:00:00"/>
    <n v="9616"/>
    <s v="共立メンテナンス"/>
    <s v="特定"/>
    <s v="-"/>
    <s v="売付"/>
    <n v="100"/>
    <n v="9060"/>
    <n v="904900"/>
    <n v="8954.74"/>
    <n v="9426"/>
  </r>
  <r>
    <x v="22"/>
    <d v="2016-03-31T00:00:00"/>
    <n v="5411"/>
    <s v="ＪＦＥホールディングス"/>
    <s v="特定"/>
    <s v="-"/>
    <s v="売付"/>
    <n v="400"/>
    <n v="1571"/>
    <n v="628400"/>
    <n v="1557.74"/>
    <n v="5302"/>
  </r>
  <r>
    <x v="22"/>
    <d v="2016-03-31T00:00:00"/>
    <n v="6752"/>
    <s v="パナソニック"/>
    <s v="特定"/>
    <s v="-"/>
    <s v="売付"/>
    <n v="400"/>
    <n v="1006"/>
    <n v="402400"/>
    <n v="1002.13"/>
    <n v="1545"/>
  </r>
  <r>
    <x v="22"/>
    <d v="2016-03-31T00:00:00"/>
    <n v="7282"/>
    <s v="豊田合成"/>
    <s v="特定"/>
    <s v="-"/>
    <s v="売付"/>
    <n v="400"/>
    <n v="2237"/>
    <n v="893793"/>
    <n v="2210.2199999999998"/>
    <n v="9704"/>
  </r>
  <r>
    <x v="23"/>
    <d v="2016-04-01T00:00:00"/>
    <n v="1808"/>
    <s v="長谷工コーポレーシヨン"/>
    <s v="特定"/>
    <s v="-"/>
    <s v="売付"/>
    <n v="500"/>
    <n v="1102"/>
    <n v="551000"/>
    <n v="1081.96"/>
    <n v="10019"/>
  </r>
  <r>
    <x v="2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x v="0"/>
    <x v="0"/>
    <n v="1"/>
    <x v="0"/>
    <d v="2016-02-04T00:00:00"/>
    <n v="9616"/>
    <x v="0"/>
    <s v="東証"/>
    <s v="特定"/>
    <s v="現物"/>
    <x v="0"/>
    <s v="-"/>
    <s v="-"/>
    <n v="100"/>
    <n v="9480"/>
    <n v="609"/>
    <n v="48"/>
    <n v="0"/>
    <s v="-"/>
    <n v="948657"/>
    <s v="-"/>
    <n v="0"/>
    <n v="0"/>
    <n v="0"/>
    <n v="0"/>
    <n v="0"/>
    <n v="0"/>
    <n v="0"/>
    <n v="0"/>
    <n v="0"/>
    <n v="0"/>
  </r>
  <r>
    <x v="0"/>
    <x v="0"/>
    <n v="1"/>
    <x v="0"/>
    <d v="2016-02-04T00:00:00"/>
    <n v="9616"/>
    <x v="0"/>
    <s v="東証"/>
    <s v="特定"/>
    <s v="現物"/>
    <x v="1"/>
    <s v="-"/>
    <s v="-"/>
    <n v="100"/>
    <n v="9660"/>
    <n v="609"/>
    <n v="48"/>
    <n v="0"/>
    <s v="源徴なし"/>
    <n v="965343"/>
    <s v="-"/>
    <n v="0"/>
    <n v="0"/>
    <n v="0"/>
    <n v="0"/>
    <n v="0"/>
    <n v="0"/>
    <n v="0"/>
    <n v="0"/>
    <n v="0"/>
    <n v="0"/>
  </r>
  <r>
    <x v="0"/>
    <x v="0"/>
    <n v="2"/>
    <x v="1"/>
    <d v="2016-02-05T00:00:00"/>
    <n v="4523"/>
    <x v="1"/>
    <s v="東証"/>
    <s v="特定"/>
    <s v="現物"/>
    <x v="0"/>
    <s v="-"/>
    <s v="-"/>
    <n v="100"/>
    <n v="7760"/>
    <n v="609"/>
    <n v="48"/>
    <n v="0"/>
    <s v="-"/>
    <n v="776657"/>
    <s v="-"/>
    <n v="0"/>
    <n v="0"/>
    <n v="0"/>
    <n v="0"/>
    <n v="0"/>
    <n v="0"/>
    <n v="0"/>
    <n v="0"/>
    <n v="0"/>
    <n v="0"/>
  </r>
  <r>
    <x v="0"/>
    <x v="0"/>
    <n v="2"/>
    <x v="1"/>
    <d v="2016-02-05T00:00:00"/>
    <n v="4523"/>
    <x v="1"/>
    <s v="東証"/>
    <s v="特定"/>
    <s v="現物"/>
    <x v="1"/>
    <s v="-"/>
    <s v="-"/>
    <n v="100"/>
    <n v="7800"/>
    <n v="609"/>
    <n v="48"/>
    <n v="0"/>
    <s v="源徴なし"/>
    <n v="779343"/>
    <s v="-"/>
    <n v="0"/>
    <n v="0"/>
    <n v="0"/>
    <n v="0"/>
    <n v="0"/>
    <n v="0"/>
    <n v="0"/>
    <n v="0"/>
    <n v="0"/>
    <n v="0"/>
  </r>
  <r>
    <x v="0"/>
    <x v="0"/>
    <n v="2"/>
    <x v="1"/>
    <d v="2016-02-05T00:00:00"/>
    <n v="7267"/>
    <x v="2"/>
    <s v="東証"/>
    <s v="特定"/>
    <s v="現物"/>
    <x v="0"/>
    <s v="-"/>
    <s v="-"/>
    <n v="100"/>
    <n v="3430"/>
    <n v="341"/>
    <n v="27"/>
    <n v="0"/>
    <s v="-"/>
    <n v="343368"/>
    <s v="-"/>
    <n v="0"/>
    <n v="0"/>
    <n v="0"/>
    <n v="0"/>
    <n v="0"/>
    <n v="0"/>
    <n v="0"/>
    <n v="0"/>
    <n v="0"/>
    <n v="0"/>
  </r>
  <r>
    <x v="0"/>
    <x v="0"/>
    <n v="2"/>
    <x v="1"/>
    <d v="2016-02-05T00:00:00"/>
    <n v="7267"/>
    <x v="2"/>
    <s v="東証"/>
    <s v="特定"/>
    <s v="現物"/>
    <x v="1"/>
    <s v="-"/>
    <s v="-"/>
    <n v="100"/>
    <n v="3400"/>
    <n v="341"/>
    <n v="27"/>
    <n v="0"/>
    <s v="源徴なし"/>
    <n v="339632"/>
    <s v="-"/>
    <n v="0"/>
    <n v="0"/>
    <n v="0"/>
    <n v="0"/>
    <n v="0"/>
    <n v="0"/>
    <n v="0"/>
    <n v="0"/>
    <n v="0"/>
    <n v="0"/>
  </r>
  <r>
    <x v="0"/>
    <x v="0"/>
    <n v="4"/>
    <x v="2"/>
    <d v="2016-02-09T00:00:00"/>
    <n v="5411"/>
    <x v="3"/>
    <s v="東証"/>
    <s v="特定"/>
    <s v="現物"/>
    <x v="0"/>
    <s v="-"/>
    <s v="-"/>
    <n v="300"/>
    <n v="1455"/>
    <n v="341"/>
    <n v="27"/>
    <n v="0"/>
    <s v="-"/>
    <n v="436868"/>
    <s v="-"/>
    <n v="0"/>
    <n v="0"/>
    <n v="0"/>
    <n v="0"/>
    <n v="0"/>
    <n v="0"/>
    <n v="0"/>
    <n v="0"/>
    <n v="0"/>
    <n v="0"/>
  </r>
  <r>
    <x v="0"/>
    <x v="0"/>
    <n v="4"/>
    <x v="2"/>
    <d v="2016-02-09T00:00:00"/>
    <n v="5411"/>
    <x v="3"/>
    <s v="東証"/>
    <s v="特定"/>
    <s v="現物"/>
    <x v="1"/>
    <s v="-"/>
    <s v="-"/>
    <n v="300"/>
    <n v="1480"/>
    <n v="341"/>
    <n v="27"/>
    <n v="0"/>
    <s v="源徴なし"/>
    <n v="443632"/>
    <s v="-"/>
    <n v="0"/>
    <n v="0"/>
    <n v="0"/>
    <n v="0"/>
    <n v="0"/>
    <n v="0"/>
    <n v="0"/>
    <n v="0"/>
    <n v="0"/>
    <n v="0"/>
  </r>
  <r>
    <x v="0"/>
    <x v="0"/>
    <n v="5"/>
    <x v="3"/>
    <d v="2016-02-10T00:00:00"/>
    <n v="2264"/>
    <x v="4"/>
    <s v="東証"/>
    <s v="特定"/>
    <s v="現物"/>
    <x v="0"/>
    <s v="-"/>
    <s v="-"/>
    <n v="1000"/>
    <n v="558"/>
    <n v="609"/>
    <n v="48"/>
    <n v="0"/>
    <s v="-"/>
    <n v="558657"/>
    <s v="-"/>
    <n v="0"/>
    <n v="0"/>
    <n v="0"/>
    <n v="0"/>
    <n v="0"/>
    <n v="0"/>
    <n v="0"/>
    <n v="0"/>
    <n v="0"/>
    <n v="0"/>
  </r>
  <r>
    <x v="0"/>
    <x v="0"/>
    <n v="5"/>
    <x v="3"/>
    <d v="2016-02-10T00:00:00"/>
    <n v="2264"/>
    <x v="4"/>
    <s v="東証"/>
    <s v="特定"/>
    <s v="現物"/>
    <x v="0"/>
    <s v="-"/>
    <s v="-"/>
    <n v="1000"/>
    <n v="522"/>
    <n v="609"/>
    <n v="48"/>
    <n v="0"/>
    <s v="-"/>
    <n v="522657"/>
    <s v="-"/>
    <n v="0"/>
    <n v="0"/>
    <n v="0"/>
    <n v="0"/>
    <n v="0"/>
    <n v="0"/>
    <n v="0"/>
    <n v="0"/>
    <n v="0"/>
    <n v="0"/>
  </r>
  <r>
    <x v="0"/>
    <x v="0"/>
    <n v="5"/>
    <x v="3"/>
    <d v="2016-02-10T00:00:00"/>
    <n v="2264"/>
    <x v="4"/>
    <s v="東証"/>
    <s v="特定"/>
    <s v="現物"/>
    <x v="1"/>
    <s v="-"/>
    <s v="-"/>
    <n v="1000"/>
    <n v="566"/>
    <n v="609"/>
    <n v="48"/>
    <n v="0"/>
    <s v="源徴なし"/>
    <n v="565343"/>
    <s v="-"/>
    <n v="0"/>
    <n v="0"/>
    <n v="0"/>
    <n v="0"/>
    <n v="0"/>
    <n v="0"/>
    <n v="0"/>
    <n v="0"/>
    <n v="0"/>
    <n v="0"/>
  </r>
  <r>
    <x v="0"/>
    <x v="0"/>
    <n v="5"/>
    <x v="3"/>
    <d v="2016-02-10T00:00:00"/>
    <n v="2264"/>
    <x v="4"/>
    <s v="東証"/>
    <s v="特定"/>
    <s v="現物"/>
    <x v="1"/>
    <s v="-"/>
    <s v="-"/>
    <n v="1000"/>
    <n v="532"/>
    <n v="609"/>
    <n v="48"/>
    <n v="0"/>
    <s v="源徴なし"/>
    <n v="531343"/>
    <s v="-"/>
    <n v="0"/>
    <n v="0"/>
    <n v="0"/>
    <n v="0"/>
    <n v="0"/>
    <n v="0"/>
    <n v="0"/>
    <n v="0"/>
    <n v="0"/>
    <n v="0"/>
  </r>
  <r>
    <x v="0"/>
    <x v="0"/>
    <n v="8"/>
    <x v="4"/>
    <d v="2016-02-12T00:00:00"/>
    <n v="9101"/>
    <x v="5"/>
    <s v="東証"/>
    <s v="特定"/>
    <s v="現物"/>
    <x v="0"/>
    <s v="-"/>
    <s v="-"/>
    <n v="2000"/>
    <n v="242"/>
    <n v="429"/>
    <n v="34"/>
    <n v="0"/>
    <s v="-"/>
    <n v="484463"/>
    <s v="-"/>
    <n v="0"/>
    <n v="0"/>
    <n v="0"/>
    <n v="0"/>
    <n v="0"/>
    <n v="0"/>
    <n v="0"/>
    <n v="0"/>
    <n v="0"/>
    <n v="0"/>
  </r>
  <r>
    <x v="0"/>
    <x v="0"/>
    <n v="9"/>
    <x v="5"/>
    <d v="2016-02-15T00:00:00"/>
    <n v="1833"/>
    <x v="6"/>
    <s v="東証"/>
    <s v="特定"/>
    <s v="現物"/>
    <x v="0"/>
    <s v="-"/>
    <s v="-"/>
    <n v="1000"/>
    <n v="597"/>
    <n v="858"/>
    <n v="68"/>
    <n v="0"/>
    <s v="-"/>
    <n v="597926"/>
    <s v="-"/>
    <n v="0"/>
    <n v="0"/>
    <n v="0"/>
    <n v="0"/>
    <n v="0"/>
    <n v="0"/>
    <n v="0"/>
    <n v="0"/>
    <n v="0"/>
    <n v="0"/>
  </r>
  <r>
    <x v="0"/>
    <x v="0"/>
    <n v="10"/>
    <x v="6"/>
    <d v="2016-02-16T00:00:00"/>
    <n v="1833"/>
    <x v="6"/>
    <s v="東証"/>
    <s v="特定"/>
    <s v="現物"/>
    <x v="1"/>
    <s v="-"/>
    <s v="-"/>
    <n v="1000"/>
    <n v="623"/>
    <n v="858"/>
    <n v="68"/>
    <n v="0"/>
    <s v="源徴なし"/>
    <n v="622074"/>
    <s v="-"/>
    <n v="0"/>
    <n v="0"/>
    <n v="0"/>
    <n v="0"/>
    <n v="0"/>
    <n v="0"/>
    <n v="0"/>
    <n v="0"/>
    <n v="0"/>
    <n v="0"/>
  </r>
  <r>
    <x v="0"/>
    <x v="0"/>
    <n v="15"/>
    <x v="7"/>
    <d v="2016-02-18T00:00:00"/>
    <n v="9616"/>
    <x v="0"/>
    <s v="東証"/>
    <s v="特定"/>
    <s v="現物"/>
    <x v="0"/>
    <s v="-"/>
    <s v="-"/>
    <n v="100"/>
    <n v="7740"/>
    <n v="858"/>
    <n v="68"/>
    <n v="0"/>
    <s v="-"/>
    <n v="774926"/>
    <s v="-"/>
    <n v="0"/>
    <n v="0"/>
    <n v="0"/>
    <n v="0"/>
    <n v="0"/>
    <n v="0"/>
    <n v="0"/>
    <n v="0"/>
    <n v="0"/>
    <n v="0"/>
  </r>
  <r>
    <x v="0"/>
    <x v="0"/>
    <n v="15"/>
    <x v="7"/>
    <d v="2016-02-18T00:00:00"/>
    <n v="9616"/>
    <x v="0"/>
    <s v="東証"/>
    <s v="特定"/>
    <s v="現物"/>
    <x v="1"/>
    <s v="-"/>
    <s v="-"/>
    <n v="100"/>
    <n v="7900"/>
    <n v="0"/>
    <n v="0"/>
    <n v="0"/>
    <s v="源徴なし"/>
    <n v="790000"/>
    <s v="-"/>
    <n v="0"/>
    <n v="0"/>
    <n v="0"/>
    <n v="0"/>
    <n v="0"/>
    <n v="0"/>
    <n v="0"/>
    <n v="0"/>
    <n v="0"/>
    <n v="0"/>
  </r>
  <r>
    <x v="0"/>
    <x v="0"/>
    <n v="16"/>
    <x v="8"/>
    <d v="2016-02-19T00:00:00"/>
    <n v="6752"/>
    <x v="7"/>
    <s v="東証"/>
    <s v="特定"/>
    <s v="現物"/>
    <x v="0"/>
    <s v="-"/>
    <s v="-"/>
    <n v="400"/>
    <n v="900"/>
    <n v="429"/>
    <n v="34"/>
    <n v="0"/>
    <s v="-"/>
    <n v="360463"/>
    <s v="-"/>
    <n v="0"/>
    <n v="0"/>
    <n v="0"/>
    <n v="0"/>
    <n v="0"/>
    <n v="0"/>
    <n v="0"/>
    <n v="0"/>
    <n v="0"/>
    <n v="0"/>
  </r>
  <r>
    <x v="0"/>
    <x v="0"/>
    <n v="16"/>
    <x v="8"/>
    <d v="2016-02-19T00:00:00"/>
    <n v="6752"/>
    <x v="7"/>
    <s v="東証"/>
    <s v="特定"/>
    <s v="現物"/>
    <x v="1"/>
    <s v="-"/>
    <s v="-"/>
    <n v="400"/>
    <n v="906"/>
    <n v="0"/>
    <n v="0"/>
    <n v="0"/>
    <s v="源徴なし"/>
    <n v="362400"/>
    <s v="-"/>
    <n v="0"/>
    <n v="0"/>
    <n v="0"/>
    <n v="0"/>
    <n v="0"/>
    <n v="0"/>
    <n v="0"/>
    <n v="0"/>
    <n v="0"/>
    <n v="0"/>
  </r>
  <r>
    <x v="0"/>
    <x v="0"/>
    <n v="17"/>
    <x v="9"/>
    <d v="2016-02-22T00:00:00"/>
    <n v="8379"/>
    <x v="8"/>
    <s v="東証"/>
    <s v="特定"/>
    <s v="現物"/>
    <x v="0"/>
    <s v="-"/>
    <s v="-"/>
    <n v="2000"/>
    <n v="425"/>
    <n v="858"/>
    <n v="68"/>
    <n v="0"/>
    <s v="-"/>
    <n v="850926"/>
    <s v="-"/>
    <n v="0"/>
    <n v="0"/>
    <n v="0"/>
    <n v="0"/>
    <n v="0"/>
    <n v="0"/>
    <n v="0"/>
    <n v="0"/>
    <n v="0"/>
    <n v="0"/>
  </r>
  <r>
    <x v="0"/>
    <x v="0"/>
    <n v="18"/>
    <x v="10"/>
    <d v="2016-02-23T00:00:00"/>
    <n v="6184"/>
    <x v="9"/>
    <s v="東証"/>
    <s v="特定"/>
    <s v="現物"/>
    <x v="0"/>
    <s v="-"/>
    <s v="-"/>
    <n v="100"/>
    <n v="2024"/>
    <n v="380"/>
    <n v="32"/>
    <n v="0"/>
    <s v="-"/>
    <n v="202812"/>
    <s v="-"/>
    <n v="0"/>
    <n v="0"/>
    <n v="0"/>
    <n v="0"/>
    <n v="0"/>
    <n v="0"/>
    <n v="0"/>
    <n v="0"/>
    <n v="0"/>
    <n v="0"/>
  </r>
  <r>
    <x v="0"/>
    <x v="0"/>
    <n v="18"/>
    <x v="10"/>
    <d v="2016-02-23T00:00:00"/>
    <n v="8379"/>
    <x v="8"/>
    <s v="東証"/>
    <s v="特定"/>
    <s v="現物"/>
    <x v="1"/>
    <s v="-"/>
    <s v="-"/>
    <n v="2000"/>
    <n v="433"/>
    <n v="1620"/>
    <n v="128"/>
    <n v="0"/>
    <s v="源徴なし"/>
    <n v="864252"/>
    <s v="-"/>
    <n v="0"/>
    <n v="0"/>
    <n v="0"/>
    <n v="0"/>
    <n v="0"/>
    <n v="0"/>
    <n v="0"/>
    <n v="0"/>
    <n v="0"/>
    <n v="0"/>
  </r>
  <r>
    <x v="0"/>
    <x v="0"/>
    <n v="19"/>
    <x v="11"/>
    <d v="2016-02-24T00:00:00"/>
    <n v="6184"/>
    <x v="9"/>
    <s v="東証"/>
    <s v="特定"/>
    <s v="現物"/>
    <x v="1"/>
    <s v="-"/>
    <s v="-"/>
    <n v="100"/>
    <n v="2040"/>
    <n v="246"/>
    <n v="19"/>
    <n v="0"/>
    <s v="源徴なし"/>
    <n v="203735"/>
    <s v="-"/>
    <n v="0"/>
    <n v="0"/>
    <n v="0"/>
    <n v="0"/>
    <n v="0"/>
    <n v="0"/>
    <n v="0"/>
    <n v="0"/>
    <n v="0"/>
    <n v="0"/>
  </r>
  <r>
    <x v="0"/>
    <x v="0"/>
    <n v="19"/>
    <x v="11"/>
    <d v="2016-02-24T00:00:00"/>
    <n v="9722"/>
    <x v="10"/>
    <s v="東証"/>
    <s v="特定"/>
    <s v="現物"/>
    <x v="0"/>
    <s v="-"/>
    <s v="-"/>
    <n v="1000"/>
    <n v="507"/>
    <n v="612"/>
    <n v="49"/>
    <n v="0"/>
    <s v="-"/>
    <n v="507661"/>
    <s v="-"/>
    <n v="0"/>
    <n v="0"/>
    <n v="0"/>
    <n v="0"/>
    <n v="0"/>
    <n v="0"/>
    <n v="0"/>
    <n v="0"/>
    <n v="0"/>
    <n v="0"/>
  </r>
  <r>
    <x v="0"/>
    <x v="0"/>
    <n v="22"/>
    <x v="12"/>
    <d v="2016-02-25T00:00:00"/>
    <n v="9616"/>
    <x v="0"/>
    <s v="東証"/>
    <s v="特定"/>
    <s v="現物"/>
    <x v="0"/>
    <s v="-"/>
    <s v="-"/>
    <n v="100"/>
    <n v="8470"/>
    <n v="1240"/>
    <n v="100"/>
    <n v="0"/>
    <s v="-"/>
    <n v="848340"/>
    <s v="-"/>
    <n v="0"/>
    <n v="0"/>
    <n v="0"/>
    <n v="0"/>
    <n v="0"/>
    <n v="0"/>
    <n v="0"/>
    <n v="0"/>
    <n v="0"/>
    <n v="0"/>
  </r>
  <r>
    <x v="0"/>
    <x v="0"/>
    <n v="22"/>
    <x v="12"/>
    <d v="2016-02-25T00:00:00"/>
    <n v="9616"/>
    <x v="0"/>
    <s v="東証"/>
    <s v="特定"/>
    <s v="現物"/>
    <x v="1"/>
    <s v="-"/>
    <s v="-"/>
    <n v="100"/>
    <n v="8580"/>
    <n v="0"/>
    <n v="0"/>
    <n v="0"/>
    <s v="源徴なし"/>
    <n v="858000"/>
    <s v="-"/>
    <n v="0"/>
    <n v="0"/>
    <n v="0"/>
    <n v="0"/>
    <n v="0"/>
    <n v="0"/>
    <n v="0"/>
    <n v="0"/>
    <n v="0"/>
    <n v="0"/>
  </r>
  <r>
    <x v="0"/>
    <x v="0"/>
    <n v="22"/>
    <x v="12"/>
    <d v="2016-02-25T00:00:00"/>
    <n v="9722"/>
    <x v="10"/>
    <s v="東証"/>
    <s v="特定"/>
    <s v="現物"/>
    <x v="1"/>
    <s v="-"/>
    <s v="-"/>
    <n v="1000"/>
    <n v="520"/>
    <n v="760"/>
    <n v="60"/>
    <n v="0"/>
    <s v="源徴なし"/>
    <n v="519180"/>
    <s v="-"/>
    <n v="0"/>
    <n v="0"/>
    <n v="0"/>
    <n v="0"/>
    <n v="0"/>
    <n v="0"/>
    <n v="0"/>
    <n v="0"/>
    <n v="0"/>
    <n v="0"/>
  </r>
  <r>
    <x v="0"/>
    <x v="0"/>
    <n v="23"/>
    <x v="13"/>
    <d v="2016-02-26T00:00:00"/>
    <n v="5401"/>
    <x v="11"/>
    <s v="東証"/>
    <s v="特定"/>
    <s v="現物"/>
    <x v="0"/>
    <s v="-"/>
    <s v="-"/>
    <n v="100"/>
    <n v="1959"/>
    <n v="192"/>
    <n v="16"/>
    <n v="0"/>
    <s v="-"/>
    <n v="196108"/>
    <s v="-"/>
    <n v="0"/>
    <n v="0"/>
    <n v="0"/>
    <n v="0"/>
    <n v="0"/>
    <n v="0"/>
    <n v="0"/>
    <n v="0"/>
    <n v="0"/>
    <n v="0"/>
  </r>
  <r>
    <x v="0"/>
    <x v="0"/>
    <n v="23"/>
    <x v="13"/>
    <d v="2016-02-26T00:00:00"/>
    <n v="9064"/>
    <x v="12"/>
    <s v="東証"/>
    <s v="特定"/>
    <s v="現物"/>
    <x v="0"/>
    <s v="-"/>
    <s v="-"/>
    <n v="100"/>
    <n v="2428"/>
    <n v="237"/>
    <n v="18"/>
    <n v="0"/>
    <s v="-"/>
    <n v="243055"/>
    <s v="-"/>
    <n v="0"/>
    <n v="0"/>
    <n v="0"/>
    <n v="0"/>
    <n v="0"/>
    <n v="0"/>
    <n v="0"/>
    <n v="0"/>
    <n v="0"/>
    <n v="0"/>
  </r>
  <r>
    <x v="0"/>
    <x v="0"/>
    <n v="24"/>
    <x v="14"/>
    <d v="2016-02-29T00:00:00"/>
    <n v="9722"/>
    <x v="10"/>
    <s v="東証"/>
    <s v="特定"/>
    <s v="現物"/>
    <x v="0"/>
    <s v="-"/>
    <s v="-"/>
    <n v="1000"/>
    <n v="558"/>
    <n v="858"/>
    <n v="68"/>
    <n v="0"/>
    <s v="-"/>
    <n v="558926"/>
    <s v="-"/>
    <n v="0"/>
    <n v="0"/>
    <n v="0"/>
    <n v="0"/>
    <n v="0"/>
    <n v="0"/>
    <n v="0"/>
    <n v="0"/>
    <n v="0"/>
    <n v="0"/>
  </r>
  <r>
    <x v="0"/>
    <x v="0"/>
    <n v="25"/>
    <x v="15"/>
    <d v="2016-03-01T00:00:00"/>
    <n v="5401"/>
    <x v="11"/>
    <s v="東証"/>
    <s v="特定"/>
    <s v="現物"/>
    <x v="1"/>
    <s v="-"/>
    <s v="-"/>
    <n v="100"/>
    <n v="1980"/>
    <n v="310"/>
    <n v="24"/>
    <n v="0"/>
    <s v="源徴なし"/>
    <n v="197666"/>
    <s v="-"/>
    <n v="0"/>
    <n v="0"/>
    <n v="0"/>
    <n v="0"/>
    <n v="0"/>
    <n v="0"/>
    <n v="0"/>
    <n v="0"/>
    <n v="0"/>
    <n v="0"/>
  </r>
  <r>
    <x v="0"/>
    <x v="0"/>
    <n v="25"/>
    <x v="15"/>
    <d v="2016-03-01T00:00:00"/>
    <n v="9627"/>
    <x v="13"/>
    <s v="東証"/>
    <s v="特定"/>
    <s v="現物"/>
    <x v="0"/>
    <s v="-"/>
    <s v="-"/>
    <n v="100"/>
    <n v="5100"/>
    <n v="799"/>
    <n v="65"/>
    <n v="0"/>
    <s v="-"/>
    <n v="510864"/>
    <s v="-"/>
    <n v="0"/>
    <n v="0"/>
    <n v="0"/>
    <n v="0"/>
    <n v="0"/>
    <n v="0"/>
    <n v="0"/>
    <n v="0"/>
    <n v="0"/>
    <n v="0"/>
  </r>
  <r>
    <x v="0"/>
    <x v="0"/>
    <n v="25"/>
    <x v="15"/>
    <d v="2016-03-01T00:00:00"/>
    <n v="9627"/>
    <x v="13"/>
    <s v="東証"/>
    <s v="特定"/>
    <s v="現物"/>
    <x v="1"/>
    <s v="-"/>
    <s v="-"/>
    <n v="100"/>
    <n v="5120"/>
    <n v="0"/>
    <n v="0"/>
    <n v="0"/>
    <s v="源徴なし"/>
    <n v="512000"/>
    <s v="-"/>
    <n v="0"/>
    <n v="0"/>
    <n v="0"/>
    <n v="0"/>
    <n v="0"/>
    <n v="0"/>
    <n v="0"/>
    <n v="0"/>
    <n v="0"/>
    <n v="0"/>
  </r>
  <r>
    <x v="0"/>
    <x v="0"/>
    <n v="25"/>
    <x v="15"/>
    <d v="2016-03-01T00:00:00"/>
    <n v="9722"/>
    <x v="10"/>
    <s v="東証"/>
    <s v="特定"/>
    <s v="現物"/>
    <x v="1"/>
    <s v="-"/>
    <s v="-"/>
    <n v="1000"/>
    <n v="569"/>
    <n v="891"/>
    <n v="71"/>
    <n v="0"/>
    <s v="源徴なし"/>
    <n v="568038"/>
    <s v="-"/>
    <n v="0"/>
    <n v="0"/>
    <n v="0"/>
    <n v="0"/>
    <n v="0"/>
    <n v="0"/>
    <n v="0"/>
    <n v="0"/>
    <n v="0"/>
    <n v="0"/>
  </r>
  <r>
    <x v="0"/>
    <x v="0"/>
    <n v="26"/>
    <x v="16"/>
    <d v="2016-03-02T00:00:00"/>
    <n v="1808"/>
    <x v="14"/>
    <s v="東証"/>
    <s v="特定"/>
    <s v="現物"/>
    <x v="0"/>
    <s v="-"/>
    <s v="-"/>
    <n v="300"/>
    <n v="982"/>
    <n v="429"/>
    <n v="34"/>
    <n v="0"/>
    <s v="-"/>
    <n v="295063"/>
    <s v="-"/>
    <n v="0"/>
    <n v="0"/>
    <n v="0"/>
    <n v="0"/>
    <n v="0"/>
    <n v="0"/>
    <n v="0"/>
    <n v="0"/>
    <n v="0"/>
    <n v="0"/>
  </r>
  <r>
    <x v="0"/>
    <x v="0"/>
    <n v="29"/>
    <x v="17"/>
    <d v="2016-03-03T00:00:00"/>
    <n v="1808"/>
    <x v="14"/>
    <s v="東証"/>
    <s v="特定"/>
    <s v="現物"/>
    <x v="1"/>
    <s v="-"/>
    <s v="-"/>
    <n v="300"/>
    <n v="1010"/>
    <n v="521"/>
    <n v="41"/>
    <n v="0"/>
    <s v="源徴なし"/>
    <n v="302438"/>
    <s v="-"/>
    <n v="0"/>
    <n v="0"/>
    <n v="0"/>
    <n v="0"/>
    <n v="0"/>
    <n v="0"/>
    <n v="0"/>
    <n v="0"/>
    <n v="0"/>
    <n v="0"/>
  </r>
  <r>
    <x v="0"/>
    <x v="0"/>
    <n v="29"/>
    <x v="17"/>
    <d v="2016-03-03T00:00:00"/>
    <n v="9616"/>
    <x v="0"/>
    <s v="東証"/>
    <s v="特定"/>
    <s v="現物"/>
    <x v="0"/>
    <s v="-"/>
    <s v="-"/>
    <n v="100"/>
    <n v="8600"/>
    <n v="1479"/>
    <n v="119"/>
    <n v="0"/>
    <s v="-"/>
    <n v="861598"/>
    <s v="-"/>
    <n v="0"/>
    <n v="0"/>
    <n v="0"/>
    <n v="0"/>
    <n v="0"/>
    <n v="0"/>
    <n v="0"/>
    <n v="0"/>
    <n v="0"/>
    <n v="0"/>
  </r>
  <r>
    <x v="1"/>
    <x v="1"/>
    <m/>
    <x v="18"/>
    <d v="2016-03-04T00:00:00"/>
    <n v="5017"/>
    <x v="15"/>
    <s v="東証"/>
    <s v="特定"/>
    <s v="現物"/>
    <x v="0"/>
    <s v="-"/>
    <s v="-"/>
    <n v="1000"/>
    <n v="318"/>
    <n v="538"/>
    <n v="44"/>
    <n v="0"/>
    <s v="-"/>
    <n v="318582"/>
    <s v="-"/>
    <n v="0"/>
    <n v="0"/>
    <n v="0"/>
    <n v="0"/>
    <n v="0"/>
    <n v="0"/>
    <n v="0"/>
    <n v="0"/>
    <n v="0"/>
    <n v="0"/>
  </r>
  <r>
    <x v="1"/>
    <x v="1"/>
    <m/>
    <x v="18"/>
    <d v="2016-03-04T00:00:00"/>
    <n v="5017"/>
    <x v="15"/>
    <s v="東証"/>
    <s v="特定"/>
    <s v="現物"/>
    <x v="1"/>
    <s v="-"/>
    <s v="-"/>
    <n v="1000"/>
    <n v="321"/>
    <n v="0"/>
    <n v="0"/>
    <n v="0"/>
    <s v="源徴なし"/>
    <n v="321000"/>
    <s v="-"/>
    <n v="0"/>
    <n v="0"/>
    <n v="0"/>
    <n v="0"/>
    <n v="0"/>
    <n v="0"/>
    <n v="0"/>
    <n v="0"/>
    <n v="0"/>
    <n v="0"/>
  </r>
  <r>
    <x v="1"/>
    <x v="1"/>
    <m/>
    <x v="18"/>
    <d v="2016-03-04T00:00:00"/>
    <n v="9616"/>
    <x v="0"/>
    <s v="東証"/>
    <s v="特定"/>
    <s v="現物"/>
    <x v="1"/>
    <s v="-"/>
    <s v="-"/>
    <n v="100"/>
    <n v="8650"/>
    <n v="1462"/>
    <n v="116"/>
    <n v="0"/>
    <s v="源徴なし"/>
    <n v="863422"/>
    <s v="-"/>
    <n v="0"/>
    <n v="0"/>
    <n v="0"/>
    <n v="0"/>
    <n v="0"/>
    <n v="0"/>
    <n v="0"/>
    <n v="0"/>
    <n v="0"/>
    <n v="0"/>
  </r>
  <r>
    <x v="1"/>
    <x v="1"/>
    <m/>
    <x v="19"/>
    <d v="2016-03-07T00:00:00"/>
    <n v="3099"/>
    <x v="16"/>
    <s v="東証"/>
    <s v="特定"/>
    <s v="現物"/>
    <x v="0"/>
    <s v="-"/>
    <s v="-"/>
    <n v="300"/>
    <n v="1366"/>
    <n v="544"/>
    <n v="43"/>
    <n v="0"/>
    <s v="-"/>
    <n v="410387"/>
    <s v="-"/>
    <n v="0"/>
    <n v="0"/>
    <n v="0"/>
    <n v="0"/>
    <n v="0"/>
    <n v="0"/>
    <n v="0"/>
    <n v="0"/>
    <n v="0"/>
    <n v="0"/>
  </r>
  <r>
    <x v="1"/>
    <x v="1"/>
    <m/>
    <x v="19"/>
    <d v="2016-03-07T00:00:00"/>
    <n v="9064"/>
    <x v="12"/>
    <s v="東証"/>
    <s v="特定"/>
    <s v="現物"/>
    <x v="1"/>
    <s v="-"/>
    <s v="-"/>
    <n v="100"/>
    <n v="2370"/>
    <n v="314"/>
    <n v="25"/>
    <n v="0"/>
    <s v="源徴なし"/>
    <n v="236661"/>
    <s v="-"/>
    <n v="0"/>
    <n v="0"/>
    <n v="0"/>
    <n v="0"/>
    <n v="0"/>
    <n v="0"/>
    <n v="0"/>
    <n v="0"/>
    <n v="0"/>
    <n v="0"/>
  </r>
  <r>
    <x v="1"/>
    <x v="1"/>
    <m/>
    <x v="20"/>
    <d v="2016-03-08T00:00:00"/>
    <n v="3099"/>
    <x v="16"/>
    <s v="東証"/>
    <s v="特定"/>
    <s v="現物"/>
    <x v="1"/>
    <s v="-"/>
    <s v="-"/>
    <n v="300"/>
    <n v="1386"/>
    <n v="635"/>
    <n v="51"/>
    <n v="0"/>
    <s v="源徴なし"/>
    <n v="415114"/>
    <s v="-"/>
    <n v="0"/>
    <n v="0"/>
    <n v="0"/>
    <n v="0"/>
    <n v="0"/>
    <n v="0"/>
    <n v="0"/>
    <n v="0"/>
    <n v="0"/>
    <n v="0"/>
  </r>
  <r>
    <x v="1"/>
    <x v="1"/>
    <m/>
    <x v="20"/>
    <d v="2016-03-08T00:00:00"/>
    <n v="9616"/>
    <x v="0"/>
    <s v="東証"/>
    <s v="特定"/>
    <s v="現物"/>
    <x v="0"/>
    <s v="-"/>
    <s v="-"/>
    <n v="100"/>
    <n v="8940"/>
    <n v="1365"/>
    <n v="109"/>
    <n v="0"/>
    <s v="-"/>
    <n v="895474"/>
    <s v="-"/>
    <n v="0"/>
    <n v="0"/>
    <n v="0"/>
    <n v="0"/>
    <n v="0"/>
    <n v="0"/>
    <n v="0"/>
    <n v="0"/>
    <n v="0"/>
    <n v="0"/>
  </r>
  <r>
    <x v="1"/>
    <x v="1"/>
    <m/>
    <x v="21"/>
    <d v="2016-03-09T00:00:00"/>
    <n v="5017"/>
    <x v="15"/>
    <s v="東証"/>
    <s v="特定"/>
    <s v="現物"/>
    <x v="0"/>
    <s v="-"/>
    <s v="-"/>
    <n v="1000"/>
    <n v="363"/>
    <n v="725"/>
    <n v="58"/>
    <n v="0"/>
    <s v="-"/>
    <n v="363783"/>
    <s v="-"/>
    <n v="0"/>
    <n v="0"/>
    <n v="0"/>
    <n v="0"/>
    <n v="0"/>
    <n v="0"/>
    <n v="0"/>
    <n v="0"/>
    <n v="0"/>
    <n v="0"/>
  </r>
  <r>
    <x v="1"/>
    <x v="1"/>
    <m/>
    <x v="21"/>
    <d v="2016-03-09T00:00:00"/>
    <n v="5411"/>
    <x v="3"/>
    <s v="東証"/>
    <s v="特定"/>
    <s v="現物"/>
    <x v="0"/>
    <s v="-"/>
    <s v="-"/>
    <n v="400"/>
    <n v="1596"/>
    <n v="1275"/>
    <n v="102"/>
    <n v="0"/>
    <s v="-"/>
    <n v="639777"/>
    <s v="-"/>
    <n v="0"/>
    <n v="0"/>
    <n v="0"/>
    <n v="0"/>
    <n v="0"/>
    <n v="0"/>
    <n v="0"/>
    <n v="0"/>
    <n v="0"/>
    <n v="0"/>
  </r>
  <r>
    <x v="1"/>
    <x v="1"/>
    <m/>
    <x v="21"/>
    <d v="2016-03-09T00:00:00"/>
    <n v="5411"/>
    <x v="3"/>
    <s v="東証"/>
    <s v="特定"/>
    <s v="現物"/>
    <x v="1"/>
    <s v="-"/>
    <s v="-"/>
    <n v="400"/>
    <n v="1620"/>
    <n v="0"/>
    <n v="0"/>
    <n v="0"/>
    <s v="源徴なし"/>
    <n v="648000"/>
    <s v="-"/>
    <n v="0"/>
    <n v="0"/>
    <n v="0"/>
    <n v="0"/>
    <n v="0"/>
    <n v="0"/>
    <n v="0"/>
    <n v="0"/>
    <n v="0"/>
    <n v="0"/>
  </r>
  <r>
    <x v="1"/>
    <x v="1"/>
    <m/>
    <x v="22"/>
    <d v="2016-03-10T00:00:00"/>
    <n v="9101"/>
    <x v="5"/>
    <s v="東証"/>
    <s v="特定"/>
    <s v="現物"/>
    <x v="1"/>
    <s v="-"/>
    <s v="-"/>
    <n v="2000"/>
    <n v="243"/>
    <n v="429"/>
    <n v="34"/>
    <n v="0"/>
    <s v="源徴なし"/>
    <n v="485537"/>
    <s v="-"/>
    <n v="0"/>
    <n v="0"/>
    <n v="0"/>
    <n v="0"/>
    <n v="0"/>
    <n v="0"/>
    <n v="0"/>
    <n v="0"/>
    <n v="0"/>
    <n v="0"/>
  </r>
  <r>
    <x v="1"/>
    <x v="1"/>
    <m/>
    <x v="23"/>
    <d v="2016-03-11T00:00:00"/>
    <n v="5411"/>
    <x v="3"/>
    <s v="東証"/>
    <s v="特定"/>
    <s v="現物"/>
    <x v="0"/>
    <s v="-"/>
    <s v="-"/>
    <n v="400"/>
    <n v="1609"/>
    <n v="858"/>
    <n v="68"/>
    <n v="0"/>
    <s v="-"/>
    <n v="644526"/>
    <s v="-"/>
    <n v="0"/>
    <n v="0"/>
    <n v="0"/>
    <n v="0"/>
    <n v="0"/>
    <n v="0"/>
    <n v="0"/>
    <n v="0"/>
    <n v="0"/>
    <n v="0"/>
  </r>
  <r>
    <x v="1"/>
    <x v="1"/>
    <m/>
    <x v="23"/>
    <d v="2016-03-11T00:00:00"/>
    <n v="5411"/>
    <x v="3"/>
    <s v="東証"/>
    <s v="特定"/>
    <s v="現物"/>
    <x v="1"/>
    <s v="-"/>
    <s v="-"/>
    <n v="400"/>
    <n v="1623"/>
    <n v="0"/>
    <n v="0"/>
    <n v="0"/>
    <s v="源徴なし"/>
    <n v="649200"/>
    <s v="-"/>
    <n v="0"/>
    <n v="0"/>
    <n v="0"/>
    <n v="0"/>
    <n v="0"/>
    <n v="0"/>
    <n v="0"/>
    <n v="0"/>
    <n v="0"/>
    <n v="0"/>
  </r>
  <r>
    <x v="1"/>
    <x v="1"/>
    <m/>
    <x v="24"/>
    <d v="2016-03-14T00:00:00"/>
    <n v="1808"/>
    <x v="14"/>
    <s v="東証"/>
    <s v="特定"/>
    <s v="現物"/>
    <x v="0"/>
    <s v="-"/>
    <s v="-"/>
    <n v="300"/>
    <n v="1009"/>
    <n v="285"/>
    <n v="23"/>
    <n v="0"/>
    <s v="-"/>
    <n v="303008"/>
    <s v="-"/>
    <n v="0"/>
    <n v="0"/>
    <n v="0"/>
    <n v="0"/>
    <n v="0"/>
    <n v="0"/>
    <n v="0"/>
    <n v="0"/>
    <n v="0"/>
    <n v="0"/>
  </r>
  <r>
    <x v="1"/>
    <x v="1"/>
    <m/>
    <x v="24"/>
    <d v="2016-03-14T00:00:00"/>
    <n v="5411"/>
    <x v="3"/>
    <s v="東証"/>
    <s v="特定"/>
    <s v="現物"/>
    <x v="0"/>
    <s v="-"/>
    <s v="-"/>
    <n v="400"/>
    <n v="1523"/>
    <n v="573"/>
    <n v="45"/>
    <n v="0"/>
    <s v="-"/>
    <n v="609818"/>
    <s v="-"/>
    <n v="0"/>
    <n v="0"/>
    <n v="0"/>
    <n v="0"/>
    <n v="0"/>
    <n v="0"/>
    <n v="0"/>
    <n v="0"/>
    <n v="0"/>
    <n v="0"/>
  </r>
  <r>
    <x v="1"/>
    <x v="1"/>
    <m/>
    <x v="24"/>
    <d v="2016-03-14T00:00:00"/>
    <n v="5411"/>
    <x v="3"/>
    <s v="東証"/>
    <s v="特定"/>
    <s v="現物"/>
    <x v="1"/>
    <s v="-"/>
    <s v="-"/>
    <n v="400"/>
    <n v="1541"/>
    <n v="0"/>
    <n v="0"/>
    <n v="0"/>
    <s v="源徴なし"/>
    <n v="616400"/>
    <s v="-"/>
    <n v="0"/>
    <n v="0"/>
    <n v="0"/>
    <n v="0"/>
    <n v="0"/>
    <n v="0"/>
    <n v="0"/>
    <n v="0"/>
    <n v="0"/>
    <n v="0"/>
  </r>
  <r>
    <x v="1"/>
    <x v="1"/>
    <m/>
    <x v="25"/>
    <d v="2016-03-15T00:00:00"/>
    <n v="1808"/>
    <x v="14"/>
    <s v="東証"/>
    <s v="特定"/>
    <s v="現物"/>
    <x v="1"/>
    <s v="-"/>
    <s v="-"/>
    <n v="300"/>
    <n v="1019"/>
    <n v="284"/>
    <n v="22"/>
    <n v="0"/>
    <s v="源徴なし"/>
    <n v="305394"/>
    <s v="-"/>
    <n v="0"/>
    <n v="0"/>
    <n v="0"/>
    <n v="0"/>
    <n v="0"/>
    <n v="0"/>
    <n v="0"/>
    <n v="0"/>
    <n v="0"/>
    <n v="0"/>
  </r>
  <r>
    <x v="1"/>
    <x v="1"/>
    <m/>
    <x v="25"/>
    <d v="2016-03-15T00:00:00"/>
    <n v="5411"/>
    <x v="3"/>
    <s v="東証"/>
    <s v="特定"/>
    <s v="現物"/>
    <x v="0"/>
    <s v="-"/>
    <s v="-"/>
    <n v="400"/>
    <n v="1539"/>
    <n v="574"/>
    <n v="46"/>
    <n v="0"/>
    <s v="-"/>
    <n v="616220"/>
    <s v="-"/>
    <n v="0"/>
    <n v="0"/>
    <n v="0"/>
    <n v="0"/>
    <n v="0"/>
    <n v="0"/>
    <n v="0"/>
    <n v="0"/>
    <n v="0"/>
    <n v="0"/>
  </r>
  <r>
    <x v="1"/>
    <x v="1"/>
    <m/>
    <x v="25"/>
    <d v="2016-03-15T00:00:00"/>
    <n v="5411"/>
    <x v="3"/>
    <s v="東証"/>
    <s v="特定"/>
    <s v="現物"/>
    <x v="1"/>
    <s v="-"/>
    <s v="-"/>
    <n v="400"/>
    <n v="1547"/>
    <n v="0"/>
    <n v="0"/>
    <n v="0"/>
    <s v="源徴なし"/>
    <n v="618800"/>
    <s v="-"/>
    <n v="0"/>
    <n v="0"/>
    <n v="0"/>
    <n v="0"/>
    <n v="0"/>
    <n v="0"/>
    <n v="0"/>
    <n v="0"/>
    <n v="0"/>
    <n v="0"/>
  </r>
  <r>
    <x v="1"/>
    <x v="1"/>
    <m/>
    <x v="26"/>
    <d v="2016-03-16T00:00:00"/>
    <n v="9104"/>
    <x v="17"/>
    <s v="東証"/>
    <s v="特定"/>
    <s v="現物"/>
    <x v="0"/>
    <s v="-"/>
    <s v="-"/>
    <n v="3000"/>
    <n v="245"/>
    <n v="858"/>
    <n v="68"/>
    <n v="0"/>
    <s v="-"/>
    <n v="735926"/>
    <s v="-"/>
    <n v="0"/>
    <n v="0"/>
    <n v="0"/>
    <n v="0"/>
    <n v="0"/>
    <n v="0"/>
    <n v="0"/>
    <n v="0"/>
    <n v="0"/>
    <n v="0"/>
  </r>
  <r>
    <x v="1"/>
    <x v="1"/>
    <m/>
    <x v="26"/>
    <d v="2016-03-16T00:00:00"/>
    <n v="9104"/>
    <x v="17"/>
    <s v="東証"/>
    <s v="特定"/>
    <s v="現物"/>
    <x v="1"/>
    <s v="-"/>
    <s v="-"/>
    <n v="3000"/>
    <n v="249"/>
    <n v="0"/>
    <n v="0"/>
    <n v="0"/>
    <s v="源徴なし"/>
    <n v="747000"/>
    <s v="-"/>
    <n v="0"/>
    <n v="0"/>
    <n v="0"/>
    <n v="0"/>
    <n v="0"/>
    <n v="0"/>
    <n v="0"/>
    <n v="0"/>
    <n v="0"/>
    <n v="0"/>
  </r>
  <r>
    <x v="1"/>
    <x v="1"/>
    <m/>
    <x v="27"/>
    <d v="2016-03-17T00:00:00"/>
    <n v="7282"/>
    <x v="18"/>
    <s v="東証"/>
    <s v="特定"/>
    <s v="現物"/>
    <x v="0"/>
    <s v="-"/>
    <s v="-"/>
    <n v="300"/>
    <n v="2220"/>
    <n v="858"/>
    <n v="68"/>
    <n v="0"/>
    <s v="-"/>
    <n v="666926"/>
    <s v="-"/>
    <n v="0"/>
    <n v="0"/>
    <n v="0"/>
    <n v="0"/>
    <n v="0"/>
    <n v="0"/>
    <n v="0"/>
    <n v="0"/>
    <n v="0"/>
    <n v="0"/>
  </r>
  <r>
    <x v="1"/>
    <x v="1"/>
    <m/>
    <x v="28"/>
    <d v="2016-03-22T00:00:00"/>
    <n v="7282"/>
    <x v="18"/>
    <s v="東証"/>
    <s v="特定"/>
    <s v="現物"/>
    <x v="0"/>
    <s v="-"/>
    <s v="-"/>
    <n v="100"/>
    <n v="2167"/>
    <n v="429"/>
    <n v="34"/>
    <n v="0"/>
    <s v="-"/>
    <n v="217163"/>
    <s v="-"/>
    <n v="0"/>
    <n v="0"/>
    <n v="0"/>
    <n v="0"/>
    <n v="0"/>
    <n v="0"/>
    <n v="0"/>
    <n v="0"/>
    <n v="0"/>
    <n v="0"/>
  </r>
  <r>
    <x v="1"/>
    <x v="1"/>
    <m/>
    <x v="29"/>
    <d v="2016-03-23T00:00:00"/>
    <n v="8355"/>
    <x v="19"/>
    <s v="東証"/>
    <s v="特定"/>
    <s v="現物"/>
    <x v="0"/>
    <s v="-"/>
    <s v="-"/>
    <n v="1000"/>
    <n v="872"/>
    <n v="981"/>
    <n v="79"/>
    <n v="0"/>
    <s v="-"/>
    <n v="873060"/>
    <s v="-"/>
    <n v="0"/>
    <n v="0"/>
    <n v="0"/>
    <n v="0"/>
    <n v="0"/>
    <n v="0"/>
    <n v="0"/>
    <n v="0"/>
    <n v="0"/>
    <n v="0"/>
  </r>
  <r>
    <x v="1"/>
    <x v="1"/>
    <m/>
    <x v="29"/>
    <d v="2016-03-23T00:00:00"/>
    <n v="9616"/>
    <x v="0"/>
    <s v="東証"/>
    <s v="特定"/>
    <s v="現物"/>
    <x v="1"/>
    <s v="-"/>
    <s v="-"/>
    <n v="100"/>
    <n v="9060"/>
    <n v="1019"/>
    <n v="81"/>
    <n v="0"/>
    <s v="源徴なし"/>
    <n v="904900"/>
    <s v="-"/>
    <n v="0"/>
    <n v="0"/>
    <n v="0"/>
    <n v="0"/>
    <n v="0"/>
    <n v="0"/>
    <n v="0"/>
    <n v="0"/>
    <n v="0"/>
    <n v="0"/>
  </r>
  <r>
    <x v="1"/>
    <x v="1"/>
    <m/>
    <x v="30"/>
    <d v="2016-03-31T00:00:00"/>
    <n v="5411"/>
    <x v="3"/>
    <s v="東証"/>
    <s v="特定"/>
    <s v="現物"/>
    <x v="0"/>
    <s v="-"/>
    <s v="-"/>
    <n v="400"/>
    <n v="1556"/>
    <n v="648"/>
    <n v="50"/>
    <n v="0"/>
    <s v="-"/>
    <n v="623098"/>
    <s v="-"/>
    <n v="0"/>
    <n v="0"/>
    <n v="0"/>
    <n v="0"/>
    <n v="0"/>
    <n v="0"/>
    <n v="0"/>
    <n v="0"/>
    <n v="0"/>
    <n v="0"/>
  </r>
  <r>
    <x v="1"/>
    <x v="1"/>
    <m/>
    <x v="30"/>
    <d v="2016-03-31T00:00:00"/>
    <n v="5411"/>
    <x v="3"/>
    <s v="東証"/>
    <s v="特定"/>
    <s v="現物"/>
    <x v="1"/>
    <s v="-"/>
    <s v="-"/>
    <n v="400"/>
    <n v="1571"/>
    <n v="0"/>
    <n v="0"/>
    <n v="0"/>
    <s v="源徴なし"/>
    <n v="628400"/>
    <s v="-"/>
    <n v="0"/>
    <n v="0"/>
    <n v="0"/>
    <n v="0"/>
    <n v="0"/>
    <n v="0"/>
    <n v="0"/>
    <n v="0"/>
    <n v="0"/>
    <n v="0"/>
  </r>
  <r>
    <x v="1"/>
    <x v="1"/>
    <m/>
    <x v="30"/>
    <d v="2016-03-31T00:00:00"/>
    <n v="6752"/>
    <x v="7"/>
    <s v="東証"/>
    <s v="特定"/>
    <s v="現物"/>
    <x v="0"/>
    <s v="-"/>
    <s v="-"/>
    <n v="400"/>
    <n v="1001"/>
    <n v="419"/>
    <n v="36"/>
    <n v="0"/>
    <s v="-"/>
    <n v="400855"/>
    <s v="-"/>
    <n v="0"/>
    <n v="0"/>
    <n v="0"/>
    <n v="0"/>
    <n v="0"/>
    <n v="0"/>
    <n v="0"/>
    <n v="0"/>
    <n v="0"/>
    <n v="0"/>
  </r>
  <r>
    <x v="1"/>
    <x v="1"/>
    <m/>
    <x v="30"/>
    <d v="2016-03-31T00:00:00"/>
    <n v="6752"/>
    <x v="7"/>
    <s v="東証"/>
    <s v="特定"/>
    <s v="現物"/>
    <x v="1"/>
    <s v="-"/>
    <s v="-"/>
    <n v="400"/>
    <n v="1006"/>
    <n v="0"/>
    <n v="0"/>
    <n v="0"/>
    <s v="源徴なし"/>
    <n v="402400"/>
    <s v="-"/>
    <n v="0"/>
    <n v="0"/>
    <n v="0"/>
    <n v="0"/>
    <n v="0"/>
    <n v="0"/>
    <n v="0"/>
    <n v="0"/>
    <n v="0"/>
    <n v="0"/>
  </r>
  <r>
    <x v="1"/>
    <x v="1"/>
    <m/>
    <x v="30"/>
    <d v="2016-03-31T00:00:00"/>
    <n v="7282"/>
    <x v="18"/>
    <s v="東証"/>
    <s v="特定"/>
    <s v="現物"/>
    <x v="1"/>
    <s v="-"/>
    <s v="-"/>
    <n v="400"/>
    <n v="2237"/>
    <n v="933"/>
    <n v="74"/>
    <n v="0"/>
    <s v="源徴なし"/>
    <n v="893793"/>
    <s v="-"/>
    <n v="0"/>
    <n v="0"/>
    <n v="0"/>
    <n v="0"/>
    <n v="0"/>
    <n v="0"/>
    <n v="0"/>
    <n v="0"/>
    <n v="0"/>
    <n v="0"/>
  </r>
  <r>
    <x v="1"/>
    <x v="1"/>
    <m/>
    <x v="31"/>
    <d v="2016-04-01T00:00:00"/>
    <n v="1808"/>
    <x v="14"/>
    <s v="東証"/>
    <s v="特定"/>
    <s v="現物"/>
    <x v="0"/>
    <s v="-"/>
    <s v="-"/>
    <n v="500"/>
    <n v="1080"/>
    <n v="909"/>
    <n v="72"/>
    <n v="0"/>
    <s v="-"/>
    <n v="540981"/>
    <s v="-"/>
    <n v="0"/>
    <n v="0"/>
    <n v="0"/>
    <n v="0"/>
    <n v="0"/>
    <n v="0"/>
    <n v="0"/>
    <n v="0"/>
    <n v="0"/>
    <n v="0"/>
  </r>
  <r>
    <x v="1"/>
    <x v="1"/>
    <m/>
    <x v="31"/>
    <d v="2016-04-01T00:00:00"/>
    <n v="1808"/>
    <x v="14"/>
    <s v="東証"/>
    <s v="特定"/>
    <s v="現物"/>
    <x v="1"/>
    <s v="-"/>
    <s v="-"/>
    <n v="500"/>
    <n v="1102"/>
    <n v="0"/>
    <n v="0"/>
    <n v="0"/>
    <s v="源徴なし"/>
    <n v="551000"/>
    <s v="-"/>
    <n v="0"/>
    <n v="0"/>
    <n v="0"/>
    <n v="0"/>
    <n v="0"/>
    <n v="0"/>
    <n v="0"/>
    <n v="0"/>
    <n v="0"/>
    <n v="0"/>
  </r>
  <r>
    <x v="1"/>
    <x v="1"/>
    <m/>
    <x v="31"/>
    <d v="2016-04-01T00:00:00"/>
    <n v="9202"/>
    <x v="20"/>
    <s v="東証"/>
    <s v="特定"/>
    <s v="現物"/>
    <x v="0"/>
    <s v="-"/>
    <s v="-"/>
    <n v="2000"/>
    <n v="324"/>
    <n v="1091"/>
    <n v="88"/>
    <n v="0"/>
    <s v="-"/>
    <n v="649179"/>
    <s v="-"/>
    <n v="0"/>
    <n v="0"/>
    <n v="0"/>
    <n v="0"/>
    <n v="0"/>
    <n v="0"/>
    <n v="0"/>
    <n v="0"/>
    <n v="0"/>
    <n v="0"/>
  </r>
  <r>
    <x v="1"/>
    <x v="1"/>
    <m/>
    <x v="32"/>
    <d v="2016-04-05T00:00:00"/>
    <n v="6752"/>
    <x v="7"/>
    <s v="東証"/>
    <s v="特定"/>
    <s v="現物"/>
    <x v="0"/>
    <s v="-"/>
    <s v="-"/>
    <n v="300"/>
    <n v="1048"/>
    <n v="429"/>
    <n v="34"/>
    <n v="0"/>
    <s v="-"/>
    <n v="314863"/>
    <s v="-"/>
    <n v="0"/>
    <n v="0"/>
    <n v="0"/>
    <n v="0"/>
    <n v="0"/>
    <n v="0"/>
    <n v="0"/>
    <n v="0"/>
    <n v="0"/>
    <n v="0"/>
  </r>
  <r>
    <x v="1"/>
    <x v="1"/>
    <m/>
    <x v="33"/>
    <m/>
    <m/>
    <x v="21"/>
    <m/>
    <m/>
    <m/>
    <x v="2"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n v="1"/>
    <x v="0"/>
    <d v="2016-02-04T00:00:00"/>
    <n v="9616"/>
    <x v="0"/>
    <s v="特定"/>
    <s v="-"/>
    <s v="売付"/>
    <n v="100"/>
    <n v="9660"/>
    <n v="965343"/>
    <n v="9486.57"/>
    <n v="16686"/>
  </r>
  <r>
    <x v="0"/>
    <x v="0"/>
    <n v="2"/>
    <x v="1"/>
    <d v="2016-02-05T00:00:00"/>
    <n v="4523"/>
    <x v="1"/>
    <s v="特定"/>
    <s v="-"/>
    <s v="売付"/>
    <n v="100"/>
    <n v="7800"/>
    <n v="779343"/>
    <n v="7766.57"/>
    <n v="2686"/>
  </r>
  <r>
    <x v="0"/>
    <x v="0"/>
    <n v="2"/>
    <x v="1"/>
    <d v="2016-02-05T00:00:00"/>
    <n v="7267"/>
    <x v="2"/>
    <s v="特定"/>
    <s v="-"/>
    <s v="売付"/>
    <n v="100"/>
    <n v="3400"/>
    <n v="339632"/>
    <n v="3433.68"/>
    <n v="-3736"/>
  </r>
  <r>
    <x v="0"/>
    <x v="0"/>
    <n v="4"/>
    <x v="2"/>
    <d v="2016-02-09T00:00:00"/>
    <n v="5411"/>
    <x v="3"/>
    <s v="特定"/>
    <s v="-"/>
    <s v="売付"/>
    <n v="300"/>
    <n v="1480"/>
    <n v="443632"/>
    <n v="1456.22"/>
    <n v="6764"/>
  </r>
  <r>
    <x v="0"/>
    <x v="0"/>
    <n v="5"/>
    <x v="3"/>
    <d v="2016-02-10T00:00:00"/>
    <n v="2264"/>
    <x v="4"/>
    <s v="特定"/>
    <s v="-"/>
    <s v="売付"/>
    <n v="1000"/>
    <n v="532"/>
    <n v="531343"/>
    <n v="540.65"/>
    <n v="-9314"/>
  </r>
  <r>
    <x v="0"/>
    <x v="0"/>
    <n v="5"/>
    <x v="3"/>
    <d v="2016-02-10T00:00:00"/>
    <n v="2264"/>
    <x v="4"/>
    <s v="特定"/>
    <s v="-"/>
    <s v="売付"/>
    <n v="1000"/>
    <n v="566"/>
    <n v="565343"/>
    <n v="540.65"/>
    <n v="24686"/>
  </r>
  <r>
    <x v="0"/>
    <x v="0"/>
    <n v="10"/>
    <x v="4"/>
    <d v="2016-02-16T00:00:00"/>
    <n v="1833"/>
    <x v="5"/>
    <s v="特定"/>
    <s v="-"/>
    <s v="売付"/>
    <n v="1000"/>
    <n v="623"/>
    <n v="622074"/>
    <n v="597.91999999999996"/>
    <n v="24148"/>
  </r>
  <r>
    <x v="0"/>
    <x v="0"/>
    <n v="15"/>
    <x v="5"/>
    <d v="2016-02-18T00:00:00"/>
    <n v="9616"/>
    <x v="0"/>
    <s v="特定"/>
    <s v="-"/>
    <s v="売付"/>
    <n v="100"/>
    <n v="7900"/>
    <n v="790000"/>
    <n v="7749.26"/>
    <n v="15074"/>
  </r>
  <r>
    <x v="0"/>
    <x v="0"/>
    <n v="16"/>
    <x v="6"/>
    <d v="2016-02-19T00:00:00"/>
    <n v="6752"/>
    <x v="6"/>
    <s v="特定"/>
    <s v="-"/>
    <s v="売付"/>
    <n v="400"/>
    <n v="906"/>
    <n v="362400"/>
    <n v="901.15"/>
    <n v="1937"/>
  </r>
  <r>
    <x v="0"/>
    <x v="0"/>
    <n v="18"/>
    <x v="7"/>
    <d v="2016-02-23T00:00:00"/>
    <n v="8379"/>
    <x v="7"/>
    <s v="特定"/>
    <s v="-"/>
    <s v="売付"/>
    <n v="2000"/>
    <n v="433"/>
    <n v="864252"/>
    <n v="425.46"/>
    <n v="13326"/>
  </r>
  <r>
    <x v="0"/>
    <x v="0"/>
    <n v="19"/>
    <x v="8"/>
    <d v="2016-02-24T00:00:00"/>
    <n v="6184"/>
    <x v="8"/>
    <s v="特定"/>
    <s v="-"/>
    <s v="売付"/>
    <n v="100"/>
    <n v="2040"/>
    <n v="203735"/>
    <n v="2028.12"/>
    <n v="923"/>
  </r>
  <r>
    <x v="0"/>
    <x v="0"/>
    <n v="22"/>
    <x v="9"/>
    <d v="2016-02-25T00:00:00"/>
    <n v="9616"/>
    <x v="0"/>
    <s v="特定"/>
    <s v="-"/>
    <s v="売付"/>
    <n v="100"/>
    <n v="8580"/>
    <n v="858000"/>
    <n v="8483.4"/>
    <n v="9660"/>
  </r>
  <r>
    <x v="0"/>
    <x v="0"/>
    <n v="22"/>
    <x v="9"/>
    <d v="2016-02-25T00:00:00"/>
    <n v="9722"/>
    <x v="9"/>
    <s v="特定"/>
    <s v="-"/>
    <s v="売付"/>
    <n v="1000"/>
    <n v="520"/>
    <n v="519180"/>
    <n v="507.66"/>
    <n v="11519"/>
  </r>
  <r>
    <x v="0"/>
    <x v="0"/>
    <n v="25"/>
    <x v="10"/>
    <d v="2016-03-01T00:00:00"/>
    <n v="5401"/>
    <x v="10"/>
    <s v="特定"/>
    <s v="-"/>
    <s v="売付"/>
    <n v="100"/>
    <n v="1980"/>
    <n v="197666"/>
    <n v="1961.08"/>
    <n v="1558"/>
  </r>
  <r>
    <x v="0"/>
    <x v="0"/>
    <n v="25"/>
    <x v="10"/>
    <d v="2016-03-01T00:00:00"/>
    <n v="9627"/>
    <x v="11"/>
    <s v="特定"/>
    <s v="-"/>
    <s v="売付"/>
    <n v="100"/>
    <n v="5120"/>
    <n v="512000"/>
    <n v="5108.6400000000003"/>
    <n v="1136"/>
  </r>
  <r>
    <x v="0"/>
    <x v="0"/>
    <n v="25"/>
    <x v="10"/>
    <d v="2016-03-01T00:00:00"/>
    <n v="9722"/>
    <x v="9"/>
    <s v="特定"/>
    <s v="-"/>
    <s v="売付"/>
    <n v="1000"/>
    <n v="569"/>
    <n v="568038"/>
    <n v="558.91999999999996"/>
    <n v="9112"/>
  </r>
  <r>
    <x v="0"/>
    <x v="0"/>
    <n v="29"/>
    <x v="11"/>
    <d v="2016-03-03T00:00:00"/>
    <n v="1808"/>
    <x v="12"/>
    <s v="特定"/>
    <s v="-"/>
    <s v="売付"/>
    <n v="300"/>
    <n v="1010"/>
    <n v="302438"/>
    <n v="983.54"/>
    <n v="7375"/>
  </r>
  <r>
    <x v="1"/>
    <x v="1"/>
    <m/>
    <x v="12"/>
    <d v="2016-03-04T00:00:00"/>
    <n v="5017"/>
    <x v="13"/>
    <s v="特定"/>
    <s v="-"/>
    <s v="売付"/>
    <n v="1000"/>
    <n v="321"/>
    <n v="321000"/>
    <n v="318.58"/>
    <n v="2418"/>
  </r>
  <r>
    <x v="1"/>
    <x v="1"/>
    <m/>
    <x v="12"/>
    <d v="2016-03-04T00:00:00"/>
    <n v="9616"/>
    <x v="0"/>
    <s v="特定"/>
    <s v="-"/>
    <s v="売付"/>
    <n v="100"/>
    <n v="8650"/>
    <n v="863422"/>
    <n v="8615.98"/>
    <n v="1824"/>
  </r>
  <r>
    <x v="1"/>
    <x v="1"/>
    <m/>
    <x v="13"/>
    <d v="2016-03-07T00:00:00"/>
    <n v="9064"/>
    <x v="14"/>
    <s v="特定"/>
    <s v="-"/>
    <s v="売付"/>
    <n v="100"/>
    <n v="2370"/>
    <n v="236661"/>
    <n v="2430.5500000000002"/>
    <n v="-6394"/>
  </r>
  <r>
    <x v="1"/>
    <x v="1"/>
    <m/>
    <x v="14"/>
    <d v="2016-03-08T00:00:00"/>
    <n v="3099"/>
    <x v="15"/>
    <s v="特定"/>
    <s v="-"/>
    <s v="売付"/>
    <n v="300"/>
    <n v="1386"/>
    <n v="415114"/>
    <n v="1367.95"/>
    <n v="4727"/>
  </r>
  <r>
    <x v="1"/>
    <x v="1"/>
    <m/>
    <x v="15"/>
    <d v="2016-03-09T00:00:00"/>
    <n v="5411"/>
    <x v="3"/>
    <s v="特定"/>
    <s v="-"/>
    <s v="売付"/>
    <n v="400"/>
    <n v="1620"/>
    <n v="648000"/>
    <n v="1599.44"/>
    <n v="8223"/>
  </r>
  <r>
    <x v="1"/>
    <x v="1"/>
    <m/>
    <x v="16"/>
    <d v="2016-03-10T00:00:00"/>
    <n v="9101"/>
    <x v="16"/>
    <s v="特定"/>
    <s v="-"/>
    <s v="売付"/>
    <n v="2000"/>
    <n v="243"/>
    <n v="485537"/>
    <n v="242.23"/>
    <n v="1074"/>
  </r>
  <r>
    <x v="1"/>
    <x v="1"/>
    <m/>
    <x v="17"/>
    <d v="2016-03-11T00:00:00"/>
    <n v="5411"/>
    <x v="3"/>
    <s v="特定"/>
    <s v="-"/>
    <s v="売付"/>
    <n v="400"/>
    <n v="1623"/>
    <n v="649200"/>
    <n v="1611.31"/>
    <n v="4674"/>
  </r>
  <r>
    <x v="1"/>
    <x v="1"/>
    <m/>
    <x v="18"/>
    <d v="2016-03-14T00:00:00"/>
    <n v="5411"/>
    <x v="3"/>
    <s v="特定"/>
    <s v="-"/>
    <s v="売付"/>
    <n v="400"/>
    <n v="1541"/>
    <n v="616400"/>
    <n v="1524.54"/>
    <n v="6582"/>
  </r>
  <r>
    <x v="1"/>
    <x v="1"/>
    <m/>
    <x v="19"/>
    <d v="2016-03-15T00:00:00"/>
    <n v="1808"/>
    <x v="12"/>
    <s v="特定"/>
    <s v="-"/>
    <s v="売付"/>
    <n v="300"/>
    <n v="1019"/>
    <n v="305394"/>
    <n v="1010.02"/>
    <n v="2386"/>
  </r>
  <r>
    <x v="1"/>
    <x v="1"/>
    <m/>
    <x v="19"/>
    <d v="2016-03-15T00:00:00"/>
    <n v="5411"/>
    <x v="3"/>
    <s v="特定"/>
    <s v="-"/>
    <s v="売付"/>
    <n v="400"/>
    <n v="1547"/>
    <n v="618800"/>
    <n v="1540.55"/>
    <n v="2580"/>
  </r>
  <r>
    <x v="1"/>
    <x v="1"/>
    <m/>
    <x v="20"/>
    <d v="2016-03-16T00:00:00"/>
    <n v="9104"/>
    <x v="17"/>
    <s v="特定"/>
    <s v="-"/>
    <s v="売付"/>
    <n v="3000"/>
    <n v="249"/>
    <n v="747000"/>
    <n v="245.3"/>
    <n v="11074"/>
  </r>
  <r>
    <x v="1"/>
    <x v="1"/>
    <m/>
    <x v="21"/>
    <d v="2016-03-23T00:00:00"/>
    <n v="9616"/>
    <x v="0"/>
    <s v="特定"/>
    <s v="-"/>
    <s v="売付"/>
    <n v="100"/>
    <n v="9060"/>
    <n v="904900"/>
    <n v="8954.74"/>
    <n v="9426"/>
  </r>
  <r>
    <x v="1"/>
    <x v="1"/>
    <m/>
    <x v="22"/>
    <d v="2016-03-31T00:00:00"/>
    <n v="5411"/>
    <x v="3"/>
    <s v="特定"/>
    <s v="-"/>
    <s v="売付"/>
    <n v="400"/>
    <n v="1571"/>
    <n v="628400"/>
    <n v="1557.74"/>
    <n v="5302"/>
  </r>
  <r>
    <x v="1"/>
    <x v="1"/>
    <m/>
    <x v="22"/>
    <d v="2016-03-31T00:00:00"/>
    <n v="6752"/>
    <x v="6"/>
    <s v="特定"/>
    <s v="-"/>
    <s v="売付"/>
    <n v="400"/>
    <n v="1006"/>
    <n v="402400"/>
    <n v="1002.13"/>
    <n v="1545"/>
  </r>
  <r>
    <x v="1"/>
    <x v="1"/>
    <m/>
    <x v="22"/>
    <d v="2016-03-31T00:00:00"/>
    <n v="7282"/>
    <x v="18"/>
    <s v="特定"/>
    <s v="-"/>
    <s v="売付"/>
    <n v="400"/>
    <n v="2237"/>
    <n v="893793"/>
    <n v="2210.2199999999998"/>
    <n v="9704"/>
  </r>
  <r>
    <x v="1"/>
    <x v="1"/>
    <m/>
    <x v="23"/>
    <d v="2016-04-01T00:00:00"/>
    <n v="1808"/>
    <x v="12"/>
    <s v="特定"/>
    <s v="-"/>
    <s v="売付"/>
    <n v="500"/>
    <n v="1102"/>
    <n v="551000"/>
    <n v="1081.96"/>
    <n v="10019"/>
  </r>
  <r>
    <x v="1"/>
    <x v="1"/>
    <m/>
    <x v="24"/>
    <m/>
    <m/>
    <x v="19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ﾋﾟﾎﾞｯﾄﾃｰﾌﾞﾙ5" cacheId="2" applyNumberFormats="0" applyBorderFormats="0" applyFontFormats="0" applyPatternFormats="0" applyAlignmentFormats="0" applyWidthHeightFormats="1" dataCaption="値" updatedVersion="6" minRefreshableVersion="3" useAutoFormatting="1" itemPrintTitles="1" createdVersion="4" indent="0" outline="1" outlineData="1" multipleFieldFilters="0" rowHeaderCaption="約定日">
  <location ref="A3:B18" firstHeaderRow="1" firstDataRow="1" firstDataCol="1" rowPageCount="1" colPageCount="1"/>
  <pivotFields count="15">
    <pivotField axis="axisPage" subtotalTop="0" showAll="0">
      <items count="3">
        <item x="0"/>
        <item x="1"/>
        <item t="default"/>
      </items>
    </pivotField>
    <pivotField axis="axisRow" subtotalTop="0" showAll="0" includeNewItemsInFilter="1">
      <items count="4">
        <item x="0"/>
        <item h="1" x="1"/>
        <item m="1" x="2"/>
        <item t="default"/>
      </items>
    </pivotField>
    <pivotField subtotalTop="0" showAll="0"/>
    <pivotField axis="axisRow" subtotalTop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24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</pivotFields>
  <rowFields count="2">
    <field x="1"/>
    <field x="3"/>
  </rowFields>
  <rowItems count="1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 t="grand">
      <x/>
    </i>
  </rowItems>
  <colItems count="1">
    <i/>
  </colItems>
  <pageFields count="1">
    <pageField fld="0" item="0" hier="-1"/>
  </pageFields>
  <dataFields count="1">
    <dataField name="合計 / 実現損益[円]" fld="14" baseField="1" baseItem="0" numFmtId="38"/>
  </dataFields>
  <formats count="1">
    <format dxfId="3">
      <pivotArea grandRow="1" outline="0" collapsedLevelsAreSubtotals="1" fieldPosition="0"/>
    </format>
  </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ﾋﾟﾎﾞｯﾄﾃｰﾌﾞﾙ1" cacheId="1" applyNumberFormats="0" applyBorderFormats="0" applyFontFormats="0" applyPatternFormats="0" applyAlignmentFormats="0" applyWidthHeightFormats="1" dataCaption="値" updatedVersion="6" minRefreshableVersion="3" useAutoFormatting="1" itemPrintTitles="1" createdVersion="4" indent="0" outline="1" outlineData="1" multipleFieldFilters="0" rowHeaderCaption="約定日">
  <location ref="A3:D24" firstHeaderRow="0" firstDataRow="1" firstDataCol="1" rowPageCount="1" colPageCount="1"/>
  <pivotFields count="31">
    <pivotField axis="axisPage" subtotalTop="0" showAll="0">
      <items count="3">
        <item x="0"/>
        <item x="1"/>
        <item t="default"/>
      </items>
    </pivotField>
    <pivotField axis="axisRow" subtotalTop="0" showAll="0" includeNewItemsInFilter="1">
      <items count="4">
        <item x="0"/>
        <item m="1" x="2"/>
        <item x="1"/>
        <item t="default"/>
      </items>
    </pivotField>
    <pivotField subtotalTop="0" showAll="0"/>
    <pivotField axis="axisRow" subtotalTop="0" showAll="0" includeNewItemsInFilter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3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dataField="1" subtotalTop="0" showAll="0"/>
    <pivotField subtotalTop="0" showAll="0"/>
    <pivotField subtotalTop="0" showAll="0"/>
    <pivotField dataField="1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2">
    <field x="1"/>
    <field x="3"/>
  </rowFields>
  <rowItems count="2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item="0" hier="-1"/>
  </pageFields>
  <dataFields count="3">
    <dataField name="合計 / 受渡金額［円］" fld="19" baseField="3" baseItem="3" numFmtId="38"/>
    <dataField name="合計 / 手数料［円］" fld="15" baseField="3" baseItem="12" numFmtId="38"/>
    <dataField name="合計 / 税金等［円］" fld="16" baseField="3" baseItem="3" numFmtId="38"/>
  </dataFields>
  <formats count="1">
    <format dxfId="2">
      <pivotArea grandRow="1" outline="0" collapsedLevelsAreSubtotals="1" fieldPosition="0"/>
    </format>
  </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ﾋﾟﾎﾞｯﾄﾃｰﾌﾞﾙ1" cacheId="2" applyNumberFormats="0" applyBorderFormats="0" applyFontFormats="0" applyPatternFormats="0" applyAlignmentFormats="0" applyWidthHeightFormats="1" dataCaption="値" updatedVersion="6" minRefreshableVersion="3" useAutoFormatting="1" itemPrintTitles="1" createdVersion="4" indent="0" outline="1" outlineData="1" multipleFieldFilters="0" rowHeaderCaption="銘柄名">
  <location ref="A4:B18" firstHeaderRow="1" firstDataRow="1" firstDataCol="1" rowPageCount="2" colPageCount="1"/>
  <pivotFields count="15"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m="1" x="2"/>
        <item x="1"/>
        <item t="default"/>
      </items>
    </pivotField>
    <pivotField showAll="0"/>
    <pivotField showAll="0"/>
    <pivotField showAll="0"/>
    <pivotField showAll="0"/>
    <pivotField axis="axisRow" showAll="0" sortType="descending">
      <items count="21">
        <item x="3"/>
        <item x="11"/>
        <item x="1"/>
        <item x="6"/>
        <item x="5"/>
        <item x="8"/>
        <item x="0"/>
        <item x="7"/>
        <item x="10"/>
        <item x="4"/>
        <item x="12"/>
        <item x="9"/>
        <item x="13"/>
        <item x="2"/>
        <item x="19"/>
        <item x="14"/>
        <item x="15"/>
        <item x="16"/>
        <item x="17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6"/>
  </rowFields>
  <rowItems count="14">
    <i>
      <x v="6"/>
    </i>
    <i>
      <x v="4"/>
    </i>
    <i>
      <x v="11"/>
    </i>
    <i>
      <x v="9"/>
    </i>
    <i>
      <x v="7"/>
    </i>
    <i>
      <x v="10"/>
    </i>
    <i>
      <x/>
    </i>
    <i>
      <x v="2"/>
    </i>
    <i>
      <x v="3"/>
    </i>
    <i>
      <x v="8"/>
    </i>
    <i>
      <x v="1"/>
    </i>
    <i>
      <x v="5"/>
    </i>
    <i>
      <x v="13"/>
    </i>
    <i t="grand">
      <x/>
    </i>
  </rowItems>
  <colItems count="1">
    <i/>
  </colItems>
  <pageFields count="2">
    <pageField fld="0" item="0" hier="-1"/>
    <pageField fld="1" hier="-1"/>
  </pageFields>
  <dataFields count="1">
    <dataField name="合計 / 実現損益[円]" fld="14" baseField="6" baseItem="0" numFmtId="38"/>
  </dataFields>
  <formats count="1">
    <format dxfId="1">
      <pivotArea grandRow="1" outline="0" collapsedLevelsAreSubtotals="1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ﾋﾟﾎﾞｯﾄﾃｰﾌﾞﾙ1" cacheId="1" applyNumberFormats="0" applyBorderFormats="0" applyFontFormats="0" applyPatternFormats="0" applyAlignmentFormats="0" applyWidthHeightFormats="1" dataCaption="値" updatedVersion="6" minRefreshableVersion="3" useAutoFormatting="1" itemPrintTitles="1" createdVersion="4" indent="0" outline="1" outlineData="1" multipleFieldFilters="0" rowHeaderCaption="銘柄名" colHeaderCaption="売買区分">
  <location ref="A4:D21" firstHeaderRow="1" firstDataRow="2" firstDataCol="1" rowPageCount="2" colPageCount="1"/>
  <pivotFields count="31"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m="1" x="2"/>
        <item x="1"/>
        <item t="default"/>
      </items>
    </pivotField>
    <pivotField showAll="0"/>
    <pivotField showAll="0"/>
    <pivotField showAll="0"/>
    <pivotField showAll="0"/>
    <pivotField axis="axisRow" showAll="0" includeNewItemsInFilter="1" sortType="descending">
      <items count="23">
        <item x="3"/>
        <item x="13"/>
        <item x="1"/>
        <item x="7"/>
        <item x="12"/>
        <item x="6"/>
        <item x="9"/>
        <item x="0"/>
        <item x="8"/>
        <item x="16"/>
        <item x="11"/>
        <item x="4"/>
        <item x="14"/>
        <item x="10"/>
        <item x="5"/>
        <item x="15"/>
        <item x="2"/>
        <item h="1" x="21"/>
        <item h="1" x="17"/>
        <item h="1" x="18"/>
        <item x="19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6">
    <i>
      <x v="11"/>
    </i>
    <i>
      <x v="8"/>
    </i>
    <i>
      <x v="13"/>
    </i>
    <i>
      <x v="14"/>
    </i>
    <i>
      <x v="5"/>
    </i>
    <i>
      <x v="3"/>
    </i>
    <i>
      <x v="7"/>
    </i>
    <i>
      <x v="12"/>
    </i>
    <i>
      <x/>
    </i>
    <i>
      <x v="2"/>
    </i>
    <i>
      <x v="10"/>
    </i>
    <i>
      <x v="6"/>
    </i>
    <i>
      <x v="16"/>
    </i>
    <i>
      <x v="1"/>
    </i>
    <i>
      <x v="4"/>
    </i>
    <i t="grand">
      <x/>
    </i>
  </rowItems>
  <colFields count="1">
    <field x="10"/>
  </colFields>
  <colItems count="3">
    <i>
      <x/>
    </i>
    <i>
      <x v="1"/>
    </i>
    <i t="grand">
      <x/>
    </i>
  </colItems>
  <pageFields count="2">
    <pageField fld="0" item="0" hier="-1"/>
    <pageField fld="1" hier="-1"/>
  </pageFields>
  <dataFields count="1">
    <dataField name="合計 / 数量［株］" fld="13" baseField="6" baseItem="0" numFmtId="3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ﾋﾟﾎﾞｯﾄﾃｰﾌﾞﾙ6" cacheId="2" applyNumberFormats="0" applyBorderFormats="0" applyFontFormats="0" applyPatternFormats="0" applyAlignmentFormats="0" applyWidthHeightFormats="1" dataCaption="値" updatedVersion="6" minRefreshableVersion="3" useAutoFormatting="1" itemPrintTitles="1" createdVersion="4" indent="0" outline="1" outlineData="1" multipleFieldFilters="0" rowHeaderCaption="月">
  <location ref="A4:A5" firstHeaderRow="1" firstDataRow="1" firstDataCol="0" rowPageCount="2" colPageCount="1"/>
  <pivotFields count="15"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2">
    <pageField fld="0" item="0" hier="-1"/>
    <pageField fld="1" hier="-1"/>
  </pageFields>
  <dataFields count="1">
    <dataField name="合計 / 実現損益[円]" fld="14" baseField="0" baseItem="2944824" numFmtId="38"/>
  </dataField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ﾋﾟﾎﾞｯﾄﾃｰﾌﾞﾙ2" cacheId="0" applyNumberFormats="0" applyBorderFormats="0" applyFontFormats="0" applyPatternFormats="0" applyAlignmentFormats="0" applyWidthHeightFormats="1" dataCaption="値" updatedVersion="6" minRefreshableVersion="3" useAutoFormatting="1" itemPrintTitles="1" createdVersion="4" indent="0" outline="1" outlineData="1" multipleFieldFilters="0" chartFormat="2" rowHeaderCaption="約定日">
  <location ref="A4:B29" firstHeaderRow="1" firstDataRow="1" firstDataCol="1"/>
  <pivotFields count="12">
    <pivotField axis="axisRow" showAll="0" includeNewItemsInFilter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24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合計 / 実現損益[円]" fld="11" baseField="2" baseItem="0" numFmtId="38"/>
  </dataFields>
  <formats count="1">
    <format dxfId="0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 Files からのクエリ" connectionId="1" xr16:uid="{F1F6D684-DEEB-4BD5-9400-EAC3FEC3FB40}" autoFormatId="20" applyNumberFormats="0" applyBorderFormats="0" applyFontFormats="0" applyPatternFormats="0" applyAlignmentFormats="0" applyWidthHeightFormats="0">
  <queryTableRefresh nextId="9">
    <queryTableFields count="8">
      <queryTableField id="1" name="支店" tableColumnId="1"/>
      <queryTableField id="2" name="顧客コード" tableColumnId="2"/>
      <queryTableField id="3" name="氏名" tableColumnId="3"/>
      <queryTableField id="4" name="フリガナ" tableColumnId="4"/>
      <queryTableField id="5" name="電話番号" tableColumnId="5"/>
      <queryTableField id="6" name="メールアドレス" tableColumnId="6"/>
      <queryTableField id="7" name="通知日" tableColumnId="7"/>
      <queryTableField id="8" name="書類提出日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_Excel_Files_からのクエリ" displayName="テーブル_Excel_Files_からのクエリ" ref="A5:H22" totalsRowShown="0">
  <autoFilter ref="A5:H22" xr:uid="{00000000-0009-0000-0100-000001000000}"/>
  <tableColumns count="8">
    <tableColumn id="1" xr3:uid="{00000000-0010-0000-0000-000001000000}" name="支店"/>
    <tableColumn id="2" xr3:uid="{00000000-0010-0000-0000-000002000000}" name="顧客コード" dataDxfId="9"/>
    <tableColumn id="3" xr3:uid="{00000000-0010-0000-0000-000003000000}" name="氏名"/>
    <tableColumn id="4" xr3:uid="{00000000-0010-0000-0000-000004000000}" name="フリガナ"/>
    <tableColumn id="5" xr3:uid="{00000000-0010-0000-0000-000005000000}" name="電話番号"/>
    <tableColumn id="6" xr3:uid="{00000000-0010-0000-0000-000006000000}" name="メールアドレス"/>
    <tableColumn id="7" xr3:uid="{00000000-0010-0000-0000-000007000000}" name="通知日" dataDxfId="8"/>
    <tableColumn id="8" xr3:uid="{00000000-0010-0000-0000-000008000000}" name="書類提出日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587BD-A872-42D1-ACFF-6A9D405845ED}" name="テーブル_Excel_Files_からのクエリ4" displayName="テーブル_Excel_Files_からのクエリ4" ref="A24:H25" tableType="queryTable" insertRow="1" totalsRowShown="0">
  <autoFilter ref="A24:H25" xr:uid="{7818AC12-5127-4290-A95D-127DF4258BCA}"/>
  <tableColumns count="8">
    <tableColumn id="1" xr3:uid="{E193505A-BB67-47D9-AFD6-1B8D1F7E53FE}" uniqueName="1" name="支店" queryTableFieldId="1"/>
    <tableColumn id="2" xr3:uid="{750ECA13-D034-4F74-BBB5-D0415131A5E4}" uniqueName="2" name="顧客コード" queryTableFieldId="2" dataDxfId="6"/>
    <tableColumn id="3" xr3:uid="{59957A7C-E505-4EC0-93CB-644E1EF74BFD}" uniqueName="3" name="氏名" queryTableFieldId="3"/>
    <tableColumn id="4" xr3:uid="{4E3304C1-5CF5-4FB1-8D73-7BB4AC5058AC}" uniqueName="4" name="フリガナ" queryTableFieldId="4"/>
    <tableColumn id="5" xr3:uid="{DEADA9D4-A30A-4A20-BF45-6261A447337D}" uniqueName="5" name="電話番号" queryTableFieldId="5"/>
    <tableColumn id="6" xr3:uid="{CDAAE7A5-4BE6-4C51-B383-A9632F4C0DF6}" uniqueName="6" name="メールアドレス" queryTableFieldId="6"/>
    <tableColumn id="7" xr3:uid="{61F83E85-9D94-484B-97A7-C29F8CAE2AB0}" uniqueName="7" name="通知日" queryTableFieldId="7" dataDxfId="5"/>
    <tableColumn id="8" xr3:uid="{E39E4E33-6A03-4267-B8EE-E68DF890CB8A}" uniqueName="8" name="書類提出日" queryTableFieldId="8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CFFCC"/>
  </sheetPr>
  <dimension ref="A1:C16"/>
  <sheetViews>
    <sheetView showGridLines="0" workbookViewId="0"/>
  </sheetViews>
  <sheetFormatPr defaultRowHeight="15" customHeight="1" x14ac:dyDescent="0.2"/>
  <cols>
    <col min="1" max="1" width="5.08984375" customWidth="1"/>
    <col min="2" max="2" width="12.90625" customWidth="1"/>
    <col min="3" max="3" width="16.7265625" customWidth="1"/>
  </cols>
  <sheetData>
    <row r="1" spans="1:3" ht="44.25" customHeight="1" x14ac:dyDescent="0.2">
      <c r="A1" s="5" t="s">
        <v>79</v>
      </c>
    </row>
    <row r="3" spans="1:3" ht="15" customHeight="1" x14ac:dyDescent="0.2">
      <c r="A3" s="112" t="s">
        <v>36</v>
      </c>
      <c r="B3" s="113"/>
    </row>
    <row r="4" spans="1:3" ht="15" customHeight="1" x14ac:dyDescent="0.2">
      <c r="A4" s="7">
        <v>1</v>
      </c>
      <c r="B4" s="10" t="s">
        <v>74</v>
      </c>
    </row>
    <row r="5" spans="1:3" ht="15" customHeight="1" x14ac:dyDescent="0.2">
      <c r="A5" s="8">
        <v>2</v>
      </c>
      <c r="B5" s="11" t="s">
        <v>75</v>
      </c>
    </row>
    <row r="6" spans="1:3" ht="15" customHeight="1" x14ac:dyDescent="0.2">
      <c r="A6" s="8">
        <v>3</v>
      </c>
      <c r="B6" s="11" t="s">
        <v>73</v>
      </c>
    </row>
    <row r="7" spans="1:3" ht="15" customHeight="1" x14ac:dyDescent="0.2">
      <c r="A7" s="8">
        <v>4</v>
      </c>
      <c r="B7" s="11" t="s">
        <v>72</v>
      </c>
    </row>
    <row r="8" spans="1:3" ht="15" customHeight="1" x14ac:dyDescent="0.2">
      <c r="A8" s="8"/>
      <c r="B8" s="11"/>
    </row>
    <row r="9" spans="1:3" ht="15" customHeight="1" x14ac:dyDescent="0.2">
      <c r="A9" s="8"/>
      <c r="B9" s="11"/>
    </row>
    <row r="10" spans="1:3" ht="15" customHeight="1" x14ac:dyDescent="0.2">
      <c r="A10" s="9"/>
      <c r="B10" s="12"/>
    </row>
    <row r="11" spans="1:3" ht="15" customHeight="1" x14ac:dyDescent="0.2">
      <c r="A11" s="4"/>
    </row>
    <row r="14" spans="1:3" ht="15" customHeight="1" x14ac:dyDescent="0.2">
      <c r="A14" s="108" t="s">
        <v>82</v>
      </c>
      <c r="B14" s="108" t="s">
        <v>187</v>
      </c>
      <c r="C14" s="108" t="s">
        <v>186</v>
      </c>
    </row>
    <row r="15" spans="1:3" ht="15" customHeight="1" x14ac:dyDescent="0.2">
      <c r="A15" s="104">
        <v>1</v>
      </c>
      <c r="B15" s="104" t="s">
        <v>184</v>
      </c>
      <c r="C15" s="106" t="s">
        <v>83</v>
      </c>
    </row>
    <row r="16" spans="1:3" ht="15" customHeight="1" x14ac:dyDescent="0.2">
      <c r="A16" s="105">
        <v>2</v>
      </c>
      <c r="B16" s="105" t="s">
        <v>185</v>
      </c>
      <c r="C16" s="107" t="s">
        <v>84</v>
      </c>
    </row>
  </sheetData>
  <mergeCells count="1">
    <mergeCell ref="A3:B3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>
    <tabColor rgb="FFCCECFF"/>
  </sheetPr>
  <dimension ref="A1:H22"/>
  <sheetViews>
    <sheetView zoomScaleNormal="100" workbookViewId="0">
      <selection activeCell="D26" sqref="D26"/>
    </sheetView>
  </sheetViews>
  <sheetFormatPr defaultRowHeight="15" customHeight="1" x14ac:dyDescent="0.2"/>
  <cols>
    <col min="2" max="2" width="9.6328125" style="14" customWidth="1"/>
    <col min="3" max="3" width="12.453125" customWidth="1"/>
    <col min="4" max="4" width="12.7265625" customWidth="1"/>
    <col min="5" max="5" width="13.36328125" customWidth="1"/>
    <col min="6" max="6" width="15.90625" customWidth="1"/>
    <col min="7" max="8" width="10.6328125" customWidth="1"/>
  </cols>
  <sheetData>
    <row r="1" spans="1:8" ht="15" customHeight="1" x14ac:dyDescent="0.2">
      <c r="A1" s="6" t="s">
        <v>77</v>
      </c>
      <c r="B1" s="13"/>
      <c r="C1" s="1"/>
      <c r="D1" s="1"/>
      <c r="E1" s="1"/>
      <c r="F1" s="1"/>
      <c r="G1" s="1"/>
      <c r="H1" s="1"/>
    </row>
    <row r="2" spans="1:8" ht="15" customHeight="1" x14ac:dyDescent="0.2">
      <c r="F2" s="37" t="s">
        <v>36</v>
      </c>
      <c r="G2" s="38" t="s">
        <v>76</v>
      </c>
      <c r="H2" s="39" t="s">
        <v>78</v>
      </c>
    </row>
    <row r="3" spans="1:8" ht="15" customHeight="1" x14ac:dyDescent="0.2">
      <c r="F3" s="40"/>
      <c r="G3" s="41"/>
      <c r="H3" s="42" t="s">
        <v>189</v>
      </c>
    </row>
    <row r="5" spans="1:8" ht="15" customHeight="1" x14ac:dyDescent="0.2">
      <c r="A5" s="1" t="s">
        <v>36</v>
      </c>
      <c r="B5" s="13" t="s">
        <v>37</v>
      </c>
      <c r="C5" s="1" t="s">
        <v>0</v>
      </c>
      <c r="D5" s="1" t="s">
        <v>18</v>
      </c>
      <c r="E5" s="1" t="s">
        <v>38</v>
      </c>
      <c r="F5" s="1" t="s">
        <v>39</v>
      </c>
      <c r="G5" s="1" t="s">
        <v>76</v>
      </c>
      <c r="H5" s="1" t="s">
        <v>78</v>
      </c>
    </row>
    <row r="6" spans="1:8" ht="15" hidden="1" customHeight="1" x14ac:dyDescent="0.2">
      <c r="A6" t="s">
        <v>74</v>
      </c>
      <c r="B6" s="15">
        <v>1010028</v>
      </c>
      <c r="C6" s="2" t="s">
        <v>16</v>
      </c>
      <c r="D6" s="2" t="s">
        <v>19</v>
      </c>
      <c r="E6" s="2" t="s">
        <v>40</v>
      </c>
      <c r="F6" s="2" t="s">
        <v>41</v>
      </c>
      <c r="G6" s="3">
        <v>42552</v>
      </c>
      <c r="H6" s="3">
        <v>42563</v>
      </c>
    </row>
    <row r="7" spans="1:8" ht="15" customHeight="1" x14ac:dyDescent="0.2">
      <c r="A7" t="s">
        <v>74</v>
      </c>
      <c r="B7" s="15">
        <v>1020074</v>
      </c>
      <c r="C7" s="2" t="s">
        <v>1</v>
      </c>
      <c r="D7" s="2" t="s">
        <v>20</v>
      </c>
      <c r="E7" s="2" t="s">
        <v>42</v>
      </c>
      <c r="F7" s="2" t="s">
        <v>43</v>
      </c>
      <c r="G7" s="3">
        <v>42552</v>
      </c>
      <c r="H7" s="3"/>
    </row>
    <row r="8" spans="1:8" ht="15" customHeight="1" x14ac:dyDescent="0.2">
      <c r="A8" t="s">
        <v>74</v>
      </c>
      <c r="B8" s="15">
        <v>1020094</v>
      </c>
      <c r="C8" s="2" t="s">
        <v>2</v>
      </c>
      <c r="D8" s="2" t="s">
        <v>21</v>
      </c>
      <c r="E8" s="2" t="s">
        <v>42</v>
      </c>
      <c r="F8" s="2" t="s">
        <v>44</v>
      </c>
      <c r="G8" s="3">
        <v>42552</v>
      </c>
      <c r="H8" s="3"/>
    </row>
    <row r="9" spans="1:8" ht="15" customHeight="1" x14ac:dyDescent="0.2">
      <c r="A9" t="s">
        <v>75</v>
      </c>
      <c r="B9" s="15">
        <v>1030003</v>
      </c>
      <c r="C9" s="2" t="s">
        <v>3</v>
      </c>
      <c r="D9" s="2" t="s">
        <v>22</v>
      </c>
      <c r="E9" s="2" t="s">
        <v>45</v>
      </c>
      <c r="F9" s="2" t="s">
        <v>46</v>
      </c>
      <c r="G9" s="3">
        <v>42552</v>
      </c>
      <c r="H9" s="3"/>
    </row>
    <row r="10" spans="1:8" ht="15" customHeight="1" x14ac:dyDescent="0.2">
      <c r="A10" t="s">
        <v>74</v>
      </c>
      <c r="B10" s="15">
        <v>1010052</v>
      </c>
      <c r="C10" s="2" t="s">
        <v>4</v>
      </c>
      <c r="D10" s="2" t="s">
        <v>23</v>
      </c>
      <c r="E10" s="2" t="s">
        <v>45</v>
      </c>
      <c r="F10" s="2" t="s">
        <v>47</v>
      </c>
      <c r="G10" s="3">
        <v>42552</v>
      </c>
      <c r="H10" s="3"/>
    </row>
    <row r="11" spans="1:8" ht="15" hidden="1" customHeight="1" x14ac:dyDescent="0.2">
      <c r="A11" t="s">
        <v>73</v>
      </c>
      <c r="B11" s="15">
        <v>1080071</v>
      </c>
      <c r="C11" s="2" t="s">
        <v>5</v>
      </c>
      <c r="D11" s="2" t="s">
        <v>24</v>
      </c>
      <c r="E11" s="2" t="s">
        <v>48</v>
      </c>
      <c r="F11" s="2" t="s">
        <v>49</v>
      </c>
      <c r="G11" s="3">
        <v>42566</v>
      </c>
      <c r="H11" s="3">
        <v>42577</v>
      </c>
    </row>
    <row r="12" spans="1:8" ht="15" customHeight="1" x14ac:dyDescent="0.2">
      <c r="A12" t="s">
        <v>73</v>
      </c>
      <c r="B12" s="15">
        <v>1060047</v>
      </c>
      <c r="C12" s="2" t="s">
        <v>6</v>
      </c>
      <c r="D12" s="2" t="s">
        <v>25</v>
      </c>
      <c r="E12" s="2" t="s">
        <v>220</v>
      </c>
      <c r="F12" s="2" t="s">
        <v>51</v>
      </c>
      <c r="G12" s="3">
        <v>42566</v>
      </c>
      <c r="H12" s="3"/>
    </row>
    <row r="13" spans="1:8" ht="15" hidden="1" customHeight="1" x14ac:dyDescent="0.2">
      <c r="A13" t="s">
        <v>72</v>
      </c>
      <c r="B13" s="15">
        <v>1610031</v>
      </c>
      <c r="C13" s="2" t="s">
        <v>7</v>
      </c>
      <c r="D13" s="2" t="s">
        <v>26</v>
      </c>
      <c r="E13" s="2" t="s">
        <v>52</v>
      </c>
      <c r="F13" s="2" t="s">
        <v>53</v>
      </c>
      <c r="G13" s="3">
        <v>42566</v>
      </c>
      <c r="H13" s="3">
        <v>42594</v>
      </c>
    </row>
    <row r="14" spans="1:8" ht="15" customHeight="1" x14ac:dyDescent="0.2">
      <c r="A14" t="s">
        <v>74</v>
      </c>
      <c r="B14" s="15">
        <v>1110052</v>
      </c>
      <c r="C14" s="2" t="s">
        <v>8</v>
      </c>
      <c r="D14" s="2" t="s">
        <v>27</v>
      </c>
      <c r="E14" s="2" t="s">
        <v>54</v>
      </c>
      <c r="F14" s="2" t="s">
        <v>55</v>
      </c>
      <c r="G14" s="3">
        <v>42566</v>
      </c>
      <c r="H14" s="3"/>
    </row>
    <row r="15" spans="1:8" ht="15" customHeight="1" x14ac:dyDescent="0.2">
      <c r="A15" t="s">
        <v>75</v>
      </c>
      <c r="B15" s="15">
        <v>1410031</v>
      </c>
      <c r="C15" s="2" t="s">
        <v>9</v>
      </c>
      <c r="D15" s="2" t="s">
        <v>28</v>
      </c>
      <c r="E15" s="2" t="s">
        <v>56</v>
      </c>
      <c r="F15" s="2" t="s">
        <v>57</v>
      </c>
      <c r="G15" s="3">
        <v>42566</v>
      </c>
      <c r="H15" s="3"/>
    </row>
    <row r="16" spans="1:8" ht="15" customHeight="1" x14ac:dyDescent="0.2">
      <c r="A16" t="s">
        <v>75</v>
      </c>
      <c r="B16" s="15">
        <v>1430006</v>
      </c>
      <c r="C16" s="2" t="s">
        <v>17</v>
      </c>
      <c r="D16" s="2" t="s">
        <v>29</v>
      </c>
      <c r="E16" s="2" t="s">
        <v>58</v>
      </c>
      <c r="F16" s="2" t="s">
        <v>59</v>
      </c>
      <c r="G16" s="3">
        <v>42583</v>
      </c>
      <c r="H16" s="3"/>
    </row>
    <row r="17" spans="1:8" ht="15" hidden="1" customHeight="1" x14ac:dyDescent="0.2">
      <c r="A17" t="s">
        <v>73</v>
      </c>
      <c r="B17" s="15">
        <v>1500042</v>
      </c>
      <c r="C17" s="2" t="s">
        <v>10</v>
      </c>
      <c r="D17" s="2" t="s">
        <v>30</v>
      </c>
      <c r="E17" s="2" t="s">
        <v>60</v>
      </c>
      <c r="F17" s="2" t="s">
        <v>61</v>
      </c>
      <c r="G17" s="3">
        <v>42583</v>
      </c>
      <c r="H17" s="3">
        <v>42597</v>
      </c>
    </row>
    <row r="18" spans="1:8" ht="15" customHeight="1" x14ac:dyDescent="0.2">
      <c r="A18" t="s">
        <v>72</v>
      </c>
      <c r="B18" s="15">
        <v>1650033</v>
      </c>
      <c r="C18" s="2" t="s">
        <v>11</v>
      </c>
      <c r="D18" s="2" t="s">
        <v>31</v>
      </c>
      <c r="E18" s="2" t="s">
        <v>62</v>
      </c>
      <c r="F18" s="2" t="s">
        <v>63</v>
      </c>
      <c r="G18" s="3">
        <v>42583</v>
      </c>
      <c r="H18" s="3"/>
    </row>
    <row r="19" spans="1:8" ht="15" customHeight="1" x14ac:dyDescent="0.2">
      <c r="A19" t="s">
        <v>72</v>
      </c>
      <c r="B19" s="15">
        <v>1670021</v>
      </c>
      <c r="C19" s="2" t="s">
        <v>12</v>
      </c>
      <c r="D19" s="2" t="s">
        <v>32</v>
      </c>
      <c r="E19" s="2" t="s">
        <v>64</v>
      </c>
      <c r="F19" s="2" t="s">
        <v>65</v>
      </c>
      <c r="G19" s="3">
        <v>42583</v>
      </c>
      <c r="H19" s="3"/>
    </row>
    <row r="20" spans="1:8" ht="15" hidden="1" customHeight="1" x14ac:dyDescent="0.2">
      <c r="A20" t="s">
        <v>72</v>
      </c>
      <c r="B20" s="15">
        <v>1710021</v>
      </c>
      <c r="C20" s="2" t="s">
        <v>13</v>
      </c>
      <c r="D20" s="2" t="s">
        <v>33</v>
      </c>
      <c r="E20" s="2" t="s">
        <v>66</v>
      </c>
      <c r="F20" s="2" t="s">
        <v>67</v>
      </c>
      <c r="G20" s="3">
        <v>42583</v>
      </c>
      <c r="H20" s="3">
        <v>42618</v>
      </c>
    </row>
    <row r="21" spans="1:8" ht="15" customHeight="1" x14ac:dyDescent="0.2">
      <c r="A21" t="s">
        <v>75</v>
      </c>
      <c r="B21" s="15">
        <v>1210813</v>
      </c>
      <c r="C21" s="2" t="s">
        <v>14</v>
      </c>
      <c r="D21" s="2" t="s">
        <v>34</v>
      </c>
      <c r="E21" s="2" t="s">
        <v>68</v>
      </c>
      <c r="F21" s="2" t="s">
        <v>69</v>
      </c>
      <c r="G21" s="3">
        <v>42583</v>
      </c>
      <c r="H21" s="3"/>
    </row>
    <row r="22" spans="1:8" ht="15" customHeight="1" x14ac:dyDescent="0.2">
      <c r="A22" t="s">
        <v>72</v>
      </c>
      <c r="B22" s="15">
        <v>1800013</v>
      </c>
      <c r="C22" s="2" t="s">
        <v>15</v>
      </c>
      <c r="D22" s="2" t="s">
        <v>35</v>
      </c>
      <c r="E22" s="2" t="s">
        <v>70</v>
      </c>
      <c r="F22" s="2" t="s">
        <v>71</v>
      </c>
      <c r="G22" s="3">
        <v>42583</v>
      </c>
      <c r="H22" s="3"/>
    </row>
  </sheetData>
  <phoneticPr fontId="2"/>
  <pageMargins left="0.7" right="0.7" top="0.75" bottom="0.75" header="0.3" footer="0.3"/>
  <pageSetup paperSize="9" scale="130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データ抽出">
                <anchor moveWithCells="1" sizeWithCells="1">
                  <from>
                    <xdr:col>8</xdr:col>
                    <xdr:colOff>184150</xdr:colOff>
                    <xdr:row>1</xdr:row>
                    <xdr:rowOff>82550</xdr:rowOff>
                  </from>
                  <to>
                    <xdr:col>9</xdr:col>
                    <xdr:colOff>381000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データコピー">
                <anchor moveWithCells="1" sizeWithCells="1">
                  <from>
                    <xdr:col>8</xdr:col>
                    <xdr:colOff>50800</xdr:colOff>
                    <xdr:row>4</xdr:row>
                    <xdr:rowOff>95250</xdr:rowOff>
                  </from>
                  <to>
                    <xdr:col>9</xdr:col>
                    <xdr:colOff>476250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CCECFF"/>
  </sheetPr>
  <dimension ref="A1:H22"/>
  <sheetViews>
    <sheetView topLeftCell="A4" workbookViewId="0">
      <selection activeCell="N9" sqref="N9"/>
    </sheetView>
  </sheetViews>
  <sheetFormatPr defaultColWidth="9" defaultRowHeight="18" customHeight="1" x14ac:dyDescent="0.2"/>
  <cols>
    <col min="1" max="1" width="8.7265625" customWidth="1"/>
    <col min="2" max="2" width="9.6328125" style="14" customWidth="1"/>
    <col min="3" max="3" width="12.453125" customWidth="1"/>
    <col min="4" max="4" width="12.7265625" customWidth="1"/>
    <col min="5" max="5" width="13.36328125" customWidth="1"/>
    <col min="6" max="6" width="15.90625" customWidth="1"/>
    <col min="7" max="8" width="10.6328125" customWidth="1"/>
    <col min="9" max="16384" width="9" style="16"/>
  </cols>
  <sheetData>
    <row r="1" spans="1:8" customFormat="1" ht="42.75" customHeight="1" x14ac:dyDescent="0.2">
      <c r="A1" s="6" t="s">
        <v>77</v>
      </c>
      <c r="B1" s="13"/>
      <c r="C1" s="1"/>
      <c r="D1" s="1"/>
      <c r="E1" s="1"/>
      <c r="F1" s="1"/>
      <c r="G1" s="1"/>
      <c r="H1" s="1"/>
    </row>
    <row r="2" spans="1:8" customFormat="1" ht="18" customHeight="1" x14ac:dyDescent="0.2">
      <c r="B2" s="14"/>
      <c r="F2" s="31" t="s">
        <v>36</v>
      </c>
      <c r="G2" s="32" t="s">
        <v>76</v>
      </c>
      <c r="H2" s="33" t="s">
        <v>78</v>
      </c>
    </row>
    <row r="3" spans="1:8" customFormat="1" ht="18" customHeight="1" x14ac:dyDescent="0.2">
      <c r="B3" s="14"/>
      <c r="F3" s="34"/>
      <c r="G3" s="35"/>
      <c r="H3" s="36" t="s">
        <v>189</v>
      </c>
    </row>
    <row r="4" spans="1:8" customFormat="1" ht="18" customHeight="1" x14ac:dyDescent="0.2">
      <c r="B4" s="14"/>
    </row>
    <row r="5" spans="1:8" customFormat="1" ht="42.75" customHeight="1" x14ac:dyDescent="0.2">
      <c r="A5" s="17" t="s">
        <v>36</v>
      </c>
      <c r="B5" s="18" t="s">
        <v>37</v>
      </c>
      <c r="C5" s="19" t="s">
        <v>0</v>
      </c>
      <c r="D5" s="19" t="s">
        <v>18</v>
      </c>
      <c r="E5" s="19" t="s">
        <v>38</v>
      </c>
      <c r="F5" s="19" t="s">
        <v>192</v>
      </c>
      <c r="G5" s="19" t="s">
        <v>76</v>
      </c>
      <c r="H5" s="20" t="s">
        <v>78</v>
      </c>
    </row>
    <row r="6" spans="1:8" customFormat="1" ht="18" customHeight="1" x14ac:dyDescent="0.2">
      <c r="A6" s="21" t="s">
        <v>74</v>
      </c>
      <c r="B6" s="22">
        <v>1020074</v>
      </c>
      <c r="C6" s="23" t="s">
        <v>1</v>
      </c>
      <c r="D6" s="23" t="s">
        <v>20</v>
      </c>
      <c r="E6" s="23" t="s">
        <v>42</v>
      </c>
      <c r="F6" s="23" t="s">
        <v>199</v>
      </c>
      <c r="G6" s="24">
        <v>42552</v>
      </c>
      <c r="H6" s="25"/>
    </row>
    <row r="7" spans="1:8" customFormat="1" ht="18" customHeight="1" x14ac:dyDescent="0.2">
      <c r="A7" s="21" t="s">
        <v>74</v>
      </c>
      <c r="B7" s="22">
        <v>1020094</v>
      </c>
      <c r="C7" s="23" t="s">
        <v>2</v>
      </c>
      <c r="D7" s="23" t="s">
        <v>21</v>
      </c>
      <c r="E7" s="23" t="s">
        <v>42</v>
      </c>
      <c r="F7" s="23" t="s">
        <v>200</v>
      </c>
      <c r="G7" s="24">
        <v>42552</v>
      </c>
      <c r="H7" s="25"/>
    </row>
    <row r="8" spans="1:8" customFormat="1" ht="18" customHeight="1" x14ac:dyDescent="0.2">
      <c r="A8" s="21" t="s">
        <v>75</v>
      </c>
      <c r="B8" s="22">
        <v>1030003</v>
      </c>
      <c r="C8" s="23" t="s">
        <v>3</v>
      </c>
      <c r="D8" s="23" t="s">
        <v>22</v>
      </c>
      <c r="E8" s="23" t="s">
        <v>45</v>
      </c>
      <c r="F8" s="23" t="s">
        <v>201</v>
      </c>
      <c r="G8" s="24">
        <v>42552</v>
      </c>
      <c r="H8" s="25"/>
    </row>
    <row r="9" spans="1:8" customFormat="1" ht="18" customHeight="1" x14ac:dyDescent="0.2">
      <c r="A9" s="21" t="s">
        <v>74</v>
      </c>
      <c r="B9" s="22">
        <v>1010052</v>
      </c>
      <c r="C9" s="23" t="s">
        <v>4</v>
      </c>
      <c r="D9" s="23" t="s">
        <v>23</v>
      </c>
      <c r="E9" s="23" t="s">
        <v>45</v>
      </c>
      <c r="F9" s="23" t="s">
        <v>202</v>
      </c>
      <c r="G9" s="24">
        <v>42552</v>
      </c>
      <c r="H9" s="25"/>
    </row>
    <row r="10" spans="1:8" ht="18" customHeight="1" x14ac:dyDescent="0.2">
      <c r="A10" s="21" t="s">
        <v>73</v>
      </c>
      <c r="B10" s="22">
        <v>1060047</v>
      </c>
      <c r="C10" s="23" t="s">
        <v>6</v>
      </c>
      <c r="D10" s="23" t="s">
        <v>25</v>
      </c>
      <c r="E10" s="23" t="s">
        <v>50</v>
      </c>
      <c r="F10" s="23" t="s">
        <v>205</v>
      </c>
      <c r="G10" s="24">
        <v>42566</v>
      </c>
      <c r="H10" s="25"/>
    </row>
    <row r="11" spans="1:8" ht="18" customHeight="1" x14ac:dyDescent="0.2">
      <c r="A11" s="21" t="s">
        <v>74</v>
      </c>
      <c r="B11" s="22">
        <v>1110052</v>
      </c>
      <c r="C11" s="23" t="s">
        <v>8</v>
      </c>
      <c r="D11" s="23" t="s">
        <v>27</v>
      </c>
      <c r="E11" s="23" t="s">
        <v>54</v>
      </c>
      <c r="F11" s="23" t="s">
        <v>208</v>
      </c>
      <c r="G11" s="24">
        <v>42566</v>
      </c>
      <c r="H11" s="25"/>
    </row>
    <row r="12" spans="1:8" ht="18" customHeight="1" x14ac:dyDescent="0.2">
      <c r="A12" s="21" t="s">
        <v>75</v>
      </c>
      <c r="B12" s="22">
        <v>1410031</v>
      </c>
      <c r="C12" s="23" t="s">
        <v>9</v>
      </c>
      <c r="D12" s="23" t="s">
        <v>28</v>
      </c>
      <c r="E12" s="23" t="s">
        <v>56</v>
      </c>
      <c r="F12" s="23" t="s">
        <v>209</v>
      </c>
      <c r="G12" s="24">
        <v>42566</v>
      </c>
      <c r="H12" s="25"/>
    </row>
    <row r="13" spans="1:8" ht="18" customHeight="1" x14ac:dyDescent="0.2">
      <c r="A13" s="21" t="s">
        <v>75</v>
      </c>
      <c r="B13" s="22">
        <v>1430006</v>
      </c>
      <c r="C13" s="23" t="s">
        <v>210</v>
      </c>
      <c r="D13" s="23" t="s">
        <v>211</v>
      </c>
      <c r="E13" s="23" t="s">
        <v>58</v>
      </c>
      <c r="F13" s="23" t="s">
        <v>212</v>
      </c>
      <c r="G13" s="24">
        <v>42583</v>
      </c>
      <c r="H13" s="25"/>
    </row>
    <row r="14" spans="1:8" ht="18" customHeight="1" x14ac:dyDescent="0.2">
      <c r="A14" s="21" t="s">
        <v>72</v>
      </c>
      <c r="B14" s="22">
        <v>1650033</v>
      </c>
      <c r="C14" s="23" t="s">
        <v>11</v>
      </c>
      <c r="D14" s="23" t="s">
        <v>31</v>
      </c>
      <c r="E14" s="23" t="s">
        <v>62</v>
      </c>
      <c r="F14" s="23" t="s">
        <v>215</v>
      </c>
      <c r="G14" s="24">
        <v>42583</v>
      </c>
      <c r="H14" s="25"/>
    </row>
    <row r="15" spans="1:8" ht="18" customHeight="1" x14ac:dyDescent="0.2">
      <c r="A15" s="21" t="s">
        <v>72</v>
      </c>
      <c r="B15" s="22">
        <v>1670021</v>
      </c>
      <c r="C15" s="23" t="s">
        <v>12</v>
      </c>
      <c r="D15" s="23" t="s">
        <v>32</v>
      </c>
      <c r="E15" s="23" t="s">
        <v>64</v>
      </c>
      <c r="F15" s="23" t="s">
        <v>216</v>
      </c>
      <c r="G15" s="24">
        <v>42583</v>
      </c>
      <c r="H15" s="25"/>
    </row>
    <row r="16" spans="1:8" ht="18" customHeight="1" x14ac:dyDescent="0.2">
      <c r="A16" s="21" t="s">
        <v>75</v>
      </c>
      <c r="B16" s="22">
        <v>1210813</v>
      </c>
      <c r="C16" s="23" t="s">
        <v>14</v>
      </c>
      <c r="D16" s="23" t="s">
        <v>34</v>
      </c>
      <c r="E16" s="23" t="s">
        <v>68</v>
      </c>
      <c r="F16" s="23" t="s">
        <v>218</v>
      </c>
      <c r="G16" s="24">
        <v>42583</v>
      </c>
      <c r="H16" s="25"/>
    </row>
    <row r="17" spans="1:8" ht="18" customHeight="1" x14ac:dyDescent="0.2">
      <c r="A17" s="21" t="s">
        <v>72</v>
      </c>
      <c r="B17" s="22">
        <v>1800013</v>
      </c>
      <c r="C17" s="23" t="s">
        <v>15</v>
      </c>
      <c r="D17" s="23" t="s">
        <v>35</v>
      </c>
      <c r="E17" s="23" t="s">
        <v>70</v>
      </c>
      <c r="F17" s="23" t="s">
        <v>219</v>
      </c>
      <c r="G17" s="24">
        <v>42583</v>
      </c>
      <c r="H17" s="25"/>
    </row>
    <row r="18" spans="1:8" ht="18" customHeight="1" x14ac:dyDescent="0.2">
      <c r="A18" s="21"/>
      <c r="B18" s="22"/>
      <c r="C18" s="23"/>
      <c r="D18" s="23"/>
      <c r="E18" s="23"/>
      <c r="F18" s="23"/>
      <c r="G18" s="24"/>
      <c r="H18" s="25"/>
    </row>
    <row r="19" spans="1:8" ht="18" customHeight="1" x14ac:dyDescent="0.2">
      <c r="A19" s="21"/>
      <c r="B19" s="22"/>
      <c r="C19" s="23"/>
      <c r="D19" s="23"/>
      <c r="E19" s="23"/>
      <c r="F19" s="23"/>
      <c r="G19" s="24"/>
      <c r="H19" s="25"/>
    </row>
    <row r="20" spans="1:8" ht="18" customHeight="1" x14ac:dyDescent="0.2">
      <c r="A20" s="26"/>
      <c r="B20" s="27"/>
      <c r="C20" s="28"/>
      <c r="D20" s="28"/>
      <c r="E20" s="28"/>
      <c r="F20" s="28"/>
      <c r="G20" s="29"/>
      <c r="H20" s="30"/>
    </row>
    <row r="21" spans="1:8" ht="18" customHeight="1" x14ac:dyDescent="0.2">
      <c r="B21" s="15"/>
      <c r="C21" s="2"/>
      <c r="D21" s="2"/>
      <c r="E21" s="2"/>
      <c r="F21" s="2"/>
      <c r="G21" s="3"/>
      <c r="H21" s="3"/>
    </row>
    <row r="22" spans="1:8" ht="18" customHeight="1" x14ac:dyDescent="0.2">
      <c r="B22" s="15"/>
      <c r="C22" s="2"/>
      <c r="D22" s="2"/>
      <c r="E22" s="2"/>
      <c r="F22" s="2"/>
      <c r="G22" s="3"/>
      <c r="H22" s="3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テスト保存">
                <anchor moveWithCells="1" sizeWithCells="1">
                  <from>
                    <xdr:col>9</xdr:col>
                    <xdr:colOff>50800</xdr:colOff>
                    <xdr:row>3</xdr:row>
                    <xdr:rowOff>88900</xdr:rowOff>
                  </from>
                  <to>
                    <xdr:col>10</xdr:col>
                    <xdr:colOff>374650</xdr:colOff>
                    <xdr:row>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新規保存">
                <anchor moveWithCells="1">
                  <from>
                    <xdr:col>9</xdr:col>
                    <xdr:colOff>215900</xdr:colOff>
                    <xdr:row>4</xdr:row>
                    <xdr:rowOff>368300</xdr:rowOff>
                  </from>
                  <to>
                    <xdr:col>10</xdr:col>
                    <xdr:colOff>412750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新規ファイル確認">
                <anchor moveWithCells="1" sizeWithCells="1">
                  <from>
                    <xdr:col>10</xdr:col>
                    <xdr:colOff>234950</xdr:colOff>
                    <xdr:row>8</xdr:row>
                    <xdr:rowOff>19050</xdr:rowOff>
                  </from>
                  <to>
                    <xdr:col>12</xdr:col>
                    <xdr:colOff>107950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000"/>
  </sheetPr>
  <dimension ref="A1:M41"/>
  <sheetViews>
    <sheetView topLeftCell="A10" workbookViewId="0">
      <selection activeCell="J2" sqref="J2"/>
    </sheetView>
  </sheetViews>
  <sheetFormatPr defaultRowHeight="15" customHeight="1" x14ac:dyDescent="0.2"/>
  <cols>
    <col min="1" max="1" width="7.7265625" bestFit="1" customWidth="1"/>
    <col min="2" max="2" width="13.08984375" style="14" bestFit="1" customWidth="1"/>
    <col min="3" max="3" width="7.7265625" bestFit="1" customWidth="1"/>
    <col min="4" max="4" width="10.7265625" bestFit="1" customWidth="1"/>
    <col min="5" max="5" width="11.90625" bestFit="1" customWidth="1"/>
    <col min="6" max="6" width="16.7265625" bestFit="1" customWidth="1"/>
    <col min="7" max="7" width="9.81640625" bestFit="1" customWidth="1"/>
    <col min="8" max="8" width="14.1796875" bestFit="1" customWidth="1"/>
    <col min="9" max="9" width="12.7265625" customWidth="1"/>
    <col min="10" max="10" width="13.08984375" customWidth="1"/>
  </cols>
  <sheetData>
    <row r="1" spans="1:13" ht="26.25" customHeight="1" x14ac:dyDescent="0.2">
      <c r="A1" s="6" t="s">
        <v>77</v>
      </c>
      <c r="B1" s="13"/>
      <c r="C1" s="1"/>
      <c r="D1" s="1"/>
      <c r="E1" s="1"/>
      <c r="F1" s="43"/>
      <c r="G1" s="43"/>
      <c r="H1" s="43"/>
      <c r="I1" s="46" t="s">
        <v>80</v>
      </c>
      <c r="J1" s="48">
        <v>42590</v>
      </c>
      <c r="K1" s="4"/>
      <c r="L1" s="44"/>
      <c r="M1" s="4"/>
    </row>
    <row r="2" spans="1:13" ht="26.25" customHeight="1" x14ac:dyDescent="0.2">
      <c r="F2" s="44"/>
      <c r="G2" s="4"/>
      <c r="H2" s="44"/>
      <c r="I2" s="47" t="s">
        <v>81</v>
      </c>
      <c r="J2" s="49">
        <v>42612</v>
      </c>
      <c r="K2" s="4"/>
      <c r="L2" s="4"/>
      <c r="M2" s="4"/>
    </row>
    <row r="3" spans="1:13" ht="15" customHeight="1" x14ac:dyDescent="0.2">
      <c r="F3" s="45"/>
      <c r="G3" s="4"/>
      <c r="H3" s="45"/>
      <c r="I3" s="4"/>
      <c r="J3" s="4"/>
      <c r="K3" s="4"/>
      <c r="L3" s="4"/>
      <c r="M3" s="4"/>
    </row>
    <row r="4" spans="1:13" ht="15" customHeight="1" x14ac:dyDescent="0.2">
      <c r="F4" s="4"/>
      <c r="G4" s="4"/>
      <c r="H4" s="4"/>
      <c r="I4" s="4"/>
      <c r="J4" s="4"/>
      <c r="K4" s="4"/>
      <c r="L4" s="4"/>
      <c r="M4" s="4"/>
    </row>
    <row r="5" spans="1:13" ht="13" x14ac:dyDescent="0.2">
      <c r="A5" s="110" t="s">
        <v>190</v>
      </c>
      <c r="B5" s="14" t="s">
        <v>191</v>
      </c>
      <c r="C5" t="s">
        <v>0</v>
      </c>
      <c r="D5" t="s">
        <v>18</v>
      </c>
      <c r="E5" t="s">
        <v>38</v>
      </c>
      <c r="F5" t="s">
        <v>192</v>
      </c>
      <c r="G5" t="s">
        <v>193</v>
      </c>
      <c r="H5" t="s">
        <v>194</v>
      </c>
    </row>
    <row r="6" spans="1:13" ht="13" x14ac:dyDescent="0.2">
      <c r="A6" t="s">
        <v>195</v>
      </c>
      <c r="B6" s="14">
        <v>1010028</v>
      </c>
      <c r="C6" t="s">
        <v>196</v>
      </c>
      <c r="D6" t="s">
        <v>197</v>
      </c>
      <c r="E6" t="s">
        <v>40</v>
      </c>
      <c r="F6" t="s">
        <v>198</v>
      </c>
      <c r="G6" s="111">
        <v>42552</v>
      </c>
      <c r="H6" s="111">
        <v>42563</v>
      </c>
    </row>
    <row r="7" spans="1:13" ht="13" x14ac:dyDescent="0.2">
      <c r="A7" t="s">
        <v>195</v>
      </c>
      <c r="B7" s="14">
        <v>1020074</v>
      </c>
      <c r="C7" t="s">
        <v>1</v>
      </c>
      <c r="D7" t="s">
        <v>20</v>
      </c>
      <c r="E7" t="s">
        <v>42</v>
      </c>
      <c r="F7" t="s">
        <v>199</v>
      </c>
      <c r="G7" s="111">
        <v>42552</v>
      </c>
      <c r="H7" s="111"/>
    </row>
    <row r="8" spans="1:13" ht="13" x14ac:dyDescent="0.2">
      <c r="A8" t="s">
        <v>195</v>
      </c>
      <c r="B8" s="14">
        <v>1020094</v>
      </c>
      <c r="C8" t="s">
        <v>2</v>
      </c>
      <c r="D8" t="s">
        <v>21</v>
      </c>
      <c r="E8" t="s">
        <v>42</v>
      </c>
      <c r="F8" t="s">
        <v>200</v>
      </c>
      <c r="G8" s="111">
        <v>42552</v>
      </c>
      <c r="H8" s="111"/>
    </row>
    <row r="9" spans="1:13" ht="13" x14ac:dyDescent="0.2">
      <c r="A9" t="s">
        <v>188</v>
      </c>
      <c r="B9" s="14">
        <v>1030003</v>
      </c>
      <c r="C9" t="s">
        <v>3</v>
      </c>
      <c r="D9" t="s">
        <v>22</v>
      </c>
      <c r="E9" t="s">
        <v>45</v>
      </c>
      <c r="F9" t="s">
        <v>201</v>
      </c>
      <c r="G9" s="111">
        <v>42552</v>
      </c>
      <c r="H9" s="111"/>
    </row>
    <row r="10" spans="1:13" ht="13" x14ac:dyDescent="0.2">
      <c r="A10" t="s">
        <v>195</v>
      </c>
      <c r="B10" s="14">
        <v>1010052</v>
      </c>
      <c r="C10" t="s">
        <v>4</v>
      </c>
      <c r="D10" t="s">
        <v>23</v>
      </c>
      <c r="E10" t="s">
        <v>45</v>
      </c>
      <c r="F10" t="s">
        <v>202</v>
      </c>
      <c r="G10" s="111">
        <v>42552</v>
      </c>
      <c r="H10" s="111"/>
    </row>
    <row r="11" spans="1:13" ht="13" x14ac:dyDescent="0.2">
      <c r="A11" t="s">
        <v>203</v>
      </c>
      <c r="B11" s="14">
        <v>1080071</v>
      </c>
      <c r="C11" t="s">
        <v>5</v>
      </c>
      <c r="D11" t="s">
        <v>24</v>
      </c>
      <c r="E11" t="s">
        <v>48</v>
      </c>
      <c r="F11" t="s">
        <v>204</v>
      </c>
      <c r="G11" s="111">
        <v>42566</v>
      </c>
      <c r="H11" s="111">
        <v>42577</v>
      </c>
    </row>
    <row r="12" spans="1:13" ht="13" x14ac:dyDescent="0.2">
      <c r="A12" t="s">
        <v>203</v>
      </c>
      <c r="B12" s="14">
        <v>1060047</v>
      </c>
      <c r="C12" t="s">
        <v>6</v>
      </c>
      <c r="D12" t="s">
        <v>25</v>
      </c>
      <c r="E12" t="s">
        <v>50</v>
      </c>
      <c r="F12" t="s">
        <v>205</v>
      </c>
      <c r="G12" s="111">
        <v>42566</v>
      </c>
      <c r="H12" s="111"/>
    </row>
    <row r="13" spans="1:13" ht="13" x14ac:dyDescent="0.2">
      <c r="A13" t="s">
        <v>206</v>
      </c>
      <c r="B13" s="14">
        <v>1610031</v>
      </c>
      <c r="C13" t="s">
        <v>7</v>
      </c>
      <c r="D13" t="s">
        <v>26</v>
      </c>
      <c r="E13" t="s">
        <v>52</v>
      </c>
      <c r="F13" t="s">
        <v>207</v>
      </c>
      <c r="G13" s="111">
        <v>42566</v>
      </c>
      <c r="H13" s="111">
        <v>42594</v>
      </c>
    </row>
    <row r="14" spans="1:13" ht="13" x14ac:dyDescent="0.2">
      <c r="A14" t="s">
        <v>195</v>
      </c>
      <c r="B14" s="14">
        <v>1110052</v>
      </c>
      <c r="C14" t="s">
        <v>8</v>
      </c>
      <c r="D14" t="s">
        <v>27</v>
      </c>
      <c r="E14" t="s">
        <v>54</v>
      </c>
      <c r="F14" t="s">
        <v>208</v>
      </c>
      <c r="G14" s="111">
        <v>42566</v>
      </c>
      <c r="H14" s="111"/>
    </row>
    <row r="15" spans="1:13" ht="13" x14ac:dyDescent="0.2">
      <c r="A15" t="s">
        <v>188</v>
      </c>
      <c r="B15" s="14">
        <v>1410031</v>
      </c>
      <c r="C15" t="s">
        <v>9</v>
      </c>
      <c r="D15" t="s">
        <v>28</v>
      </c>
      <c r="E15" t="s">
        <v>56</v>
      </c>
      <c r="F15" t="s">
        <v>209</v>
      </c>
      <c r="G15" s="111">
        <v>42566</v>
      </c>
      <c r="H15" s="111"/>
    </row>
    <row r="16" spans="1:13" ht="13" x14ac:dyDescent="0.2">
      <c r="A16" t="s">
        <v>188</v>
      </c>
      <c r="B16" s="14">
        <v>1430006</v>
      </c>
      <c r="C16" t="s">
        <v>210</v>
      </c>
      <c r="D16" t="s">
        <v>211</v>
      </c>
      <c r="E16" t="s">
        <v>58</v>
      </c>
      <c r="F16" t="s">
        <v>212</v>
      </c>
      <c r="G16" s="111">
        <v>42583</v>
      </c>
      <c r="H16" s="111"/>
    </row>
    <row r="17" spans="1:8" ht="13" x14ac:dyDescent="0.2">
      <c r="A17" t="s">
        <v>203</v>
      </c>
      <c r="B17" s="14">
        <v>1500042</v>
      </c>
      <c r="C17" t="s">
        <v>10</v>
      </c>
      <c r="D17" t="s">
        <v>30</v>
      </c>
      <c r="E17" t="s">
        <v>213</v>
      </c>
      <c r="F17" t="s">
        <v>214</v>
      </c>
      <c r="G17" s="111">
        <v>42583</v>
      </c>
      <c r="H17" s="111">
        <v>42597</v>
      </c>
    </row>
    <row r="18" spans="1:8" ht="13" x14ac:dyDescent="0.2">
      <c r="A18" t="s">
        <v>206</v>
      </c>
      <c r="B18" s="14">
        <v>1650033</v>
      </c>
      <c r="C18" t="s">
        <v>11</v>
      </c>
      <c r="D18" t="s">
        <v>31</v>
      </c>
      <c r="E18" t="s">
        <v>62</v>
      </c>
      <c r="F18" t="s">
        <v>215</v>
      </c>
      <c r="G18" s="111">
        <v>42583</v>
      </c>
      <c r="H18" s="111"/>
    </row>
    <row r="19" spans="1:8" ht="13" x14ac:dyDescent="0.2">
      <c r="A19" t="s">
        <v>206</v>
      </c>
      <c r="B19" s="14">
        <v>1670021</v>
      </c>
      <c r="C19" t="s">
        <v>12</v>
      </c>
      <c r="D19" t="s">
        <v>32</v>
      </c>
      <c r="E19" t="s">
        <v>64</v>
      </c>
      <c r="F19" t="s">
        <v>216</v>
      </c>
      <c r="G19" s="111">
        <v>42583</v>
      </c>
      <c r="H19" s="111"/>
    </row>
    <row r="20" spans="1:8" ht="13" x14ac:dyDescent="0.2">
      <c r="A20" t="s">
        <v>206</v>
      </c>
      <c r="B20" s="14">
        <v>1710021</v>
      </c>
      <c r="C20" t="s">
        <v>13</v>
      </c>
      <c r="D20" t="s">
        <v>33</v>
      </c>
      <c r="E20" t="s">
        <v>66</v>
      </c>
      <c r="F20" t="s">
        <v>217</v>
      </c>
      <c r="G20" s="111">
        <v>42583</v>
      </c>
      <c r="H20" s="111">
        <v>42618</v>
      </c>
    </row>
    <row r="21" spans="1:8" ht="13" x14ac:dyDescent="0.2">
      <c r="A21" t="s">
        <v>188</v>
      </c>
      <c r="B21" s="14">
        <v>1210813</v>
      </c>
      <c r="C21" t="s">
        <v>14</v>
      </c>
      <c r="D21" t="s">
        <v>34</v>
      </c>
      <c r="E21" t="s">
        <v>68</v>
      </c>
      <c r="F21" t="s">
        <v>218</v>
      </c>
      <c r="G21" s="111">
        <v>42583</v>
      </c>
      <c r="H21" s="111"/>
    </row>
    <row r="22" spans="1:8" ht="13" x14ac:dyDescent="0.2">
      <c r="A22" t="s">
        <v>206</v>
      </c>
      <c r="B22" s="14">
        <v>1800013</v>
      </c>
      <c r="C22" t="s">
        <v>15</v>
      </c>
      <c r="D22" t="s">
        <v>35</v>
      </c>
      <c r="E22" t="s">
        <v>70</v>
      </c>
      <c r="F22" t="s">
        <v>219</v>
      </c>
      <c r="G22" s="111">
        <v>42583</v>
      </c>
      <c r="H22" s="111"/>
    </row>
    <row r="24" spans="1:8" ht="13" x14ac:dyDescent="0.2">
      <c r="A24" t="s">
        <v>190</v>
      </c>
      <c r="B24" s="14" t="s">
        <v>191</v>
      </c>
      <c r="C24" t="s">
        <v>0</v>
      </c>
      <c r="D24" t="s">
        <v>18</v>
      </c>
      <c r="E24" t="s">
        <v>38</v>
      </c>
      <c r="F24" t="s">
        <v>192</v>
      </c>
      <c r="G24" t="s">
        <v>193</v>
      </c>
      <c r="H24" t="s">
        <v>194</v>
      </c>
    </row>
    <row r="25" spans="1:8" ht="13" x14ac:dyDescent="0.2">
      <c r="G25" s="111"/>
      <c r="H25" s="111"/>
    </row>
    <row r="26" spans="1:8" ht="13" x14ac:dyDescent="0.2"/>
    <row r="27" spans="1:8" ht="13" x14ac:dyDescent="0.2"/>
    <row r="28" spans="1:8" ht="13" x14ac:dyDescent="0.2"/>
    <row r="29" spans="1:8" ht="13" x14ac:dyDescent="0.2"/>
    <row r="30" spans="1:8" ht="13" x14ac:dyDescent="0.2"/>
    <row r="31" spans="1:8" ht="13" x14ac:dyDescent="0.2"/>
    <row r="32" spans="1:8" ht="13" x14ac:dyDescent="0.2"/>
    <row r="33" ht="13" x14ac:dyDescent="0.2"/>
    <row r="34" ht="13" x14ac:dyDescent="0.2"/>
    <row r="35" ht="13" x14ac:dyDescent="0.2"/>
    <row r="36" ht="13" x14ac:dyDescent="0.2"/>
    <row r="37" ht="13" x14ac:dyDescent="0.2"/>
    <row r="38" ht="13" x14ac:dyDescent="0.2"/>
    <row r="39" ht="13" x14ac:dyDescent="0.2"/>
    <row r="40" ht="13" x14ac:dyDescent="0.2"/>
    <row r="41" ht="13" x14ac:dyDescent="0.2"/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クエリー更新">
                <anchor moveWithCells="1" sizeWithCells="1">
                  <from>
                    <xdr:col>8</xdr:col>
                    <xdr:colOff>685800</xdr:colOff>
                    <xdr:row>22</xdr:row>
                    <xdr:rowOff>44450</xdr:rowOff>
                  </from>
                  <to>
                    <xdr:col>9</xdr:col>
                    <xdr:colOff>850900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CCFF"/>
  </sheetPr>
  <dimension ref="A1:O34"/>
  <sheetViews>
    <sheetView tabSelected="1" workbookViewId="0">
      <pane xSplit="3" ySplit="1" topLeftCell="D2" activePane="bottomRight" state="frozen"/>
      <selection activeCell="B29" sqref="B29"/>
      <selection pane="topRight" activeCell="B29" sqref="B29"/>
      <selection pane="bottomLeft" activeCell="B29" sqref="B29"/>
      <selection pane="bottomRight" activeCell="Q8" sqref="Q8"/>
    </sheetView>
  </sheetViews>
  <sheetFormatPr defaultRowHeight="13" x14ac:dyDescent="0.2"/>
  <cols>
    <col min="1" max="1" width="6.08984375" customWidth="1"/>
    <col min="2" max="3" width="3.08984375" customWidth="1"/>
    <col min="4" max="5" width="10.26953125" customWidth="1"/>
    <col min="6" max="6" width="7" customWidth="1"/>
    <col min="7" max="7" width="17.26953125" customWidth="1"/>
    <col min="8" max="8" width="5.26953125" customWidth="1"/>
    <col min="9" max="9" width="4" customWidth="1"/>
    <col min="10" max="10" width="5.26953125" customWidth="1"/>
    <col min="11" max="11" width="9.36328125" customWidth="1"/>
    <col min="12" max="12" width="16.26953125" customWidth="1"/>
    <col min="13" max="14" width="15" customWidth="1"/>
    <col min="15" max="15" width="11.6328125" customWidth="1"/>
  </cols>
  <sheetData>
    <row r="1" spans="1:15" s="88" customFormat="1" ht="33" customHeight="1" x14ac:dyDescent="0.2">
      <c r="A1" s="85" t="s">
        <v>108</v>
      </c>
      <c r="B1" s="85" t="s">
        <v>109</v>
      </c>
      <c r="C1" s="85" t="s">
        <v>110</v>
      </c>
      <c r="D1" s="86" t="s">
        <v>111</v>
      </c>
      <c r="E1" s="87" t="s">
        <v>112</v>
      </c>
      <c r="F1" s="87" t="s">
        <v>113</v>
      </c>
      <c r="G1" s="87" t="s">
        <v>114</v>
      </c>
      <c r="H1" s="87" t="s">
        <v>115</v>
      </c>
      <c r="I1" s="87" t="s">
        <v>116</v>
      </c>
      <c r="J1" s="87" t="s">
        <v>117</v>
      </c>
      <c r="K1" s="87" t="s">
        <v>118</v>
      </c>
      <c r="L1" s="87" t="s">
        <v>119</v>
      </c>
      <c r="M1" s="87" t="s">
        <v>120</v>
      </c>
      <c r="N1" s="87" t="s">
        <v>121</v>
      </c>
      <c r="O1" s="87" t="s">
        <v>122</v>
      </c>
    </row>
    <row r="2" spans="1:15" x14ac:dyDescent="0.2">
      <c r="A2">
        <v>2016</v>
      </c>
      <c r="B2">
        <v>2</v>
      </c>
      <c r="C2">
        <v>1</v>
      </c>
      <c r="D2" s="89">
        <v>42401</v>
      </c>
      <c r="E2" s="89">
        <v>42404</v>
      </c>
      <c r="F2" s="90">
        <v>9616</v>
      </c>
      <c r="G2" s="90" t="s">
        <v>123</v>
      </c>
      <c r="H2" s="90" t="s">
        <v>124</v>
      </c>
      <c r="I2" s="90" t="s">
        <v>125</v>
      </c>
      <c r="J2" s="90" t="s">
        <v>126</v>
      </c>
      <c r="K2" s="90">
        <v>100</v>
      </c>
      <c r="L2" s="91">
        <v>9660</v>
      </c>
      <c r="M2" s="92">
        <v>965343</v>
      </c>
      <c r="N2" s="91">
        <v>9486.57</v>
      </c>
      <c r="O2" s="92">
        <v>16686</v>
      </c>
    </row>
    <row r="3" spans="1:15" x14ac:dyDescent="0.2">
      <c r="A3">
        <v>2016</v>
      </c>
      <c r="B3">
        <v>2</v>
      </c>
      <c r="C3">
        <v>2</v>
      </c>
      <c r="D3" s="89">
        <v>42402</v>
      </c>
      <c r="E3" s="89">
        <v>42405</v>
      </c>
      <c r="F3" s="90">
        <v>4523</v>
      </c>
      <c r="G3" s="90" t="s">
        <v>127</v>
      </c>
      <c r="H3" s="90" t="s">
        <v>124</v>
      </c>
      <c r="I3" s="90" t="s">
        <v>125</v>
      </c>
      <c r="J3" s="90" t="s">
        <v>126</v>
      </c>
      <c r="K3" s="90">
        <v>100</v>
      </c>
      <c r="L3" s="91">
        <v>7800</v>
      </c>
      <c r="M3" s="92">
        <v>779343</v>
      </c>
      <c r="N3" s="91">
        <v>7766.57</v>
      </c>
      <c r="O3" s="92">
        <v>2686</v>
      </c>
    </row>
    <row r="4" spans="1:15" x14ac:dyDescent="0.2">
      <c r="A4">
        <v>2016</v>
      </c>
      <c r="B4">
        <v>2</v>
      </c>
      <c r="C4">
        <v>2</v>
      </c>
      <c r="D4" s="89">
        <v>42402</v>
      </c>
      <c r="E4" s="89">
        <v>42405</v>
      </c>
      <c r="F4" s="90">
        <v>7267</v>
      </c>
      <c r="G4" s="90" t="s">
        <v>128</v>
      </c>
      <c r="H4" s="90" t="s">
        <v>124</v>
      </c>
      <c r="I4" s="90" t="s">
        <v>125</v>
      </c>
      <c r="J4" s="90" t="s">
        <v>126</v>
      </c>
      <c r="K4" s="90">
        <v>100</v>
      </c>
      <c r="L4" s="91">
        <v>3400</v>
      </c>
      <c r="M4" s="92">
        <v>339632</v>
      </c>
      <c r="N4" s="91">
        <v>3433.68</v>
      </c>
      <c r="O4" s="92">
        <v>-3736</v>
      </c>
    </row>
    <row r="5" spans="1:15" x14ac:dyDescent="0.2">
      <c r="A5">
        <v>2016</v>
      </c>
      <c r="B5">
        <v>2</v>
      </c>
      <c r="C5">
        <v>4</v>
      </c>
      <c r="D5" s="89">
        <v>42404</v>
      </c>
      <c r="E5" s="89">
        <v>42409</v>
      </c>
      <c r="F5" s="90">
        <v>5411</v>
      </c>
      <c r="G5" s="90" t="s">
        <v>129</v>
      </c>
      <c r="H5" s="90" t="s">
        <v>124</v>
      </c>
      <c r="I5" s="90" t="s">
        <v>125</v>
      </c>
      <c r="J5" s="90" t="s">
        <v>126</v>
      </c>
      <c r="K5" s="90">
        <v>300</v>
      </c>
      <c r="L5" s="91">
        <v>1480</v>
      </c>
      <c r="M5" s="92">
        <v>443632</v>
      </c>
      <c r="N5" s="91">
        <v>1456.22</v>
      </c>
      <c r="O5" s="92">
        <v>6764</v>
      </c>
    </row>
    <row r="6" spans="1:15" x14ac:dyDescent="0.2">
      <c r="A6">
        <v>2016</v>
      </c>
      <c r="B6">
        <v>2</v>
      </c>
      <c r="C6">
        <v>5</v>
      </c>
      <c r="D6" s="89">
        <v>42405</v>
      </c>
      <c r="E6" s="89">
        <v>42410</v>
      </c>
      <c r="F6" s="90">
        <v>2264</v>
      </c>
      <c r="G6" s="90" t="s">
        <v>130</v>
      </c>
      <c r="H6" s="90" t="s">
        <v>124</v>
      </c>
      <c r="I6" s="90" t="s">
        <v>125</v>
      </c>
      <c r="J6" s="90" t="s">
        <v>126</v>
      </c>
      <c r="K6" s="92">
        <v>1000</v>
      </c>
      <c r="L6" s="90">
        <v>532</v>
      </c>
      <c r="M6" s="92">
        <v>531343</v>
      </c>
      <c r="N6" s="90">
        <v>540.65</v>
      </c>
      <c r="O6" s="92">
        <v>-9314</v>
      </c>
    </row>
    <row r="7" spans="1:15" x14ac:dyDescent="0.2">
      <c r="A7">
        <v>2016</v>
      </c>
      <c r="B7">
        <v>2</v>
      </c>
      <c r="C7">
        <v>5</v>
      </c>
      <c r="D7" s="89">
        <v>42405</v>
      </c>
      <c r="E7" s="89">
        <v>42410</v>
      </c>
      <c r="F7" s="90">
        <v>2264</v>
      </c>
      <c r="G7" s="90" t="s">
        <v>130</v>
      </c>
      <c r="H7" s="90" t="s">
        <v>124</v>
      </c>
      <c r="I7" s="90" t="s">
        <v>125</v>
      </c>
      <c r="J7" s="90" t="s">
        <v>126</v>
      </c>
      <c r="K7" s="92">
        <v>1000</v>
      </c>
      <c r="L7" s="90">
        <v>566</v>
      </c>
      <c r="M7" s="92">
        <v>565343</v>
      </c>
      <c r="N7" s="90">
        <v>540.65</v>
      </c>
      <c r="O7" s="92">
        <v>24686</v>
      </c>
    </row>
    <row r="8" spans="1:15" x14ac:dyDescent="0.2">
      <c r="A8">
        <v>2016</v>
      </c>
      <c r="B8">
        <v>2</v>
      </c>
      <c r="C8">
        <v>10</v>
      </c>
      <c r="D8" s="89">
        <v>42410</v>
      </c>
      <c r="E8" s="89">
        <v>42416</v>
      </c>
      <c r="F8" s="90">
        <v>1833</v>
      </c>
      <c r="G8" s="90" t="s">
        <v>131</v>
      </c>
      <c r="H8" s="90" t="s">
        <v>124</v>
      </c>
      <c r="I8" s="90" t="s">
        <v>125</v>
      </c>
      <c r="J8" s="90" t="s">
        <v>126</v>
      </c>
      <c r="K8" s="92">
        <v>1000</v>
      </c>
      <c r="L8" s="90">
        <v>623</v>
      </c>
      <c r="M8" s="92">
        <v>622074</v>
      </c>
      <c r="N8" s="90">
        <v>597.91999999999996</v>
      </c>
      <c r="O8" s="92">
        <v>24148</v>
      </c>
    </row>
    <row r="9" spans="1:15" x14ac:dyDescent="0.2">
      <c r="A9">
        <v>2016</v>
      </c>
      <c r="B9">
        <v>2</v>
      </c>
      <c r="C9">
        <v>15</v>
      </c>
      <c r="D9" s="89">
        <v>42415</v>
      </c>
      <c r="E9" s="89">
        <v>42418</v>
      </c>
      <c r="F9" s="90">
        <v>9616</v>
      </c>
      <c r="G9" s="90" t="s">
        <v>123</v>
      </c>
      <c r="H9" s="90" t="s">
        <v>124</v>
      </c>
      <c r="I9" s="90" t="s">
        <v>125</v>
      </c>
      <c r="J9" s="90" t="s">
        <v>126</v>
      </c>
      <c r="K9" s="90">
        <v>100</v>
      </c>
      <c r="L9" s="91">
        <v>7900</v>
      </c>
      <c r="M9" s="92">
        <v>790000</v>
      </c>
      <c r="N9" s="91">
        <v>7749.26</v>
      </c>
      <c r="O9" s="92">
        <v>15074</v>
      </c>
    </row>
    <row r="10" spans="1:15" x14ac:dyDescent="0.2">
      <c r="A10">
        <v>2016</v>
      </c>
      <c r="B10">
        <v>2</v>
      </c>
      <c r="C10">
        <v>16</v>
      </c>
      <c r="D10" s="89">
        <v>42416</v>
      </c>
      <c r="E10" s="89">
        <v>42419</v>
      </c>
      <c r="F10" s="90">
        <v>6752</v>
      </c>
      <c r="G10" s="90" t="s">
        <v>132</v>
      </c>
      <c r="H10" s="90" t="s">
        <v>124</v>
      </c>
      <c r="I10" s="90" t="s">
        <v>125</v>
      </c>
      <c r="J10" s="90" t="s">
        <v>126</v>
      </c>
      <c r="K10" s="90">
        <v>400</v>
      </c>
      <c r="L10" s="90">
        <v>906</v>
      </c>
      <c r="M10" s="92">
        <v>362400</v>
      </c>
      <c r="N10" s="90">
        <v>901.15</v>
      </c>
      <c r="O10" s="92">
        <v>1937</v>
      </c>
    </row>
    <row r="11" spans="1:15" x14ac:dyDescent="0.2">
      <c r="A11">
        <v>2016</v>
      </c>
      <c r="B11">
        <v>2</v>
      </c>
      <c r="C11">
        <v>18</v>
      </c>
      <c r="D11" s="89">
        <v>42418</v>
      </c>
      <c r="E11" s="89">
        <v>42423</v>
      </c>
      <c r="F11" s="90">
        <v>8379</v>
      </c>
      <c r="G11" s="90" t="s">
        <v>133</v>
      </c>
      <c r="H11" s="90" t="s">
        <v>124</v>
      </c>
      <c r="I11" s="90" t="s">
        <v>125</v>
      </c>
      <c r="J11" s="90" t="s">
        <v>126</v>
      </c>
      <c r="K11" s="92">
        <v>2000</v>
      </c>
      <c r="L11" s="90">
        <v>433</v>
      </c>
      <c r="M11" s="92">
        <v>864252</v>
      </c>
      <c r="N11" s="90">
        <v>425.46</v>
      </c>
      <c r="O11" s="92">
        <v>13326</v>
      </c>
    </row>
    <row r="12" spans="1:15" x14ac:dyDescent="0.2">
      <c r="A12">
        <v>2016</v>
      </c>
      <c r="B12">
        <v>2</v>
      </c>
      <c r="C12">
        <v>19</v>
      </c>
      <c r="D12" s="89">
        <v>42419</v>
      </c>
      <c r="E12" s="89">
        <v>42424</v>
      </c>
      <c r="F12" s="90">
        <v>6184</v>
      </c>
      <c r="G12" s="90" t="s">
        <v>134</v>
      </c>
      <c r="H12" s="90" t="s">
        <v>124</v>
      </c>
      <c r="I12" s="90" t="s">
        <v>125</v>
      </c>
      <c r="J12" s="90" t="s">
        <v>126</v>
      </c>
      <c r="K12" s="90">
        <v>100</v>
      </c>
      <c r="L12" s="91">
        <v>2040</v>
      </c>
      <c r="M12" s="92">
        <v>203735</v>
      </c>
      <c r="N12" s="91">
        <v>2028.12</v>
      </c>
      <c r="O12" s="90">
        <v>923</v>
      </c>
    </row>
    <row r="13" spans="1:15" x14ac:dyDescent="0.2">
      <c r="A13">
        <v>2016</v>
      </c>
      <c r="B13">
        <v>2</v>
      </c>
      <c r="C13">
        <v>22</v>
      </c>
      <c r="D13" s="89">
        <v>42422</v>
      </c>
      <c r="E13" s="89">
        <v>42425</v>
      </c>
      <c r="F13" s="90">
        <v>9616</v>
      </c>
      <c r="G13" s="90" t="s">
        <v>123</v>
      </c>
      <c r="H13" s="90" t="s">
        <v>124</v>
      </c>
      <c r="I13" s="90" t="s">
        <v>125</v>
      </c>
      <c r="J13" s="90" t="s">
        <v>126</v>
      </c>
      <c r="K13" s="90">
        <v>100</v>
      </c>
      <c r="L13" s="91">
        <v>8580</v>
      </c>
      <c r="M13" s="92">
        <v>858000</v>
      </c>
      <c r="N13" s="91">
        <v>8483.4</v>
      </c>
      <c r="O13" s="92">
        <v>9660</v>
      </c>
    </row>
    <row r="14" spans="1:15" x14ac:dyDescent="0.2">
      <c r="A14">
        <v>2016</v>
      </c>
      <c r="B14">
        <v>2</v>
      </c>
      <c r="C14">
        <v>22</v>
      </c>
      <c r="D14" s="89">
        <v>42422</v>
      </c>
      <c r="E14" s="89">
        <v>42425</v>
      </c>
      <c r="F14" s="90">
        <v>9722</v>
      </c>
      <c r="G14" s="90" t="s">
        <v>135</v>
      </c>
      <c r="H14" s="90" t="s">
        <v>124</v>
      </c>
      <c r="I14" s="90" t="s">
        <v>125</v>
      </c>
      <c r="J14" s="90" t="s">
        <v>126</v>
      </c>
      <c r="K14" s="92">
        <v>1000</v>
      </c>
      <c r="L14" s="90">
        <v>520</v>
      </c>
      <c r="M14" s="92">
        <v>519180</v>
      </c>
      <c r="N14" s="90">
        <v>507.66</v>
      </c>
      <c r="O14" s="92">
        <v>11519</v>
      </c>
    </row>
    <row r="15" spans="1:15" x14ac:dyDescent="0.2">
      <c r="A15">
        <v>2016</v>
      </c>
      <c r="B15">
        <v>2</v>
      </c>
      <c r="C15">
        <v>25</v>
      </c>
      <c r="D15" s="89">
        <v>42425</v>
      </c>
      <c r="E15" s="89">
        <v>42430</v>
      </c>
      <c r="F15" s="90">
        <v>5401</v>
      </c>
      <c r="G15" s="90" t="s">
        <v>136</v>
      </c>
      <c r="H15" s="90" t="s">
        <v>124</v>
      </c>
      <c r="I15" s="90" t="s">
        <v>125</v>
      </c>
      <c r="J15" s="90" t="s">
        <v>126</v>
      </c>
      <c r="K15" s="90">
        <v>100</v>
      </c>
      <c r="L15" s="91">
        <v>1980</v>
      </c>
      <c r="M15" s="92">
        <v>197666</v>
      </c>
      <c r="N15" s="91">
        <v>1961.08</v>
      </c>
      <c r="O15" s="92">
        <v>1558</v>
      </c>
    </row>
    <row r="16" spans="1:15" x14ac:dyDescent="0.2">
      <c r="A16">
        <v>2016</v>
      </c>
      <c r="B16">
        <v>2</v>
      </c>
      <c r="C16">
        <v>25</v>
      </c>
      <c r="D16" s="89">
        <v>42425</v>
      </c>
      <c r="E16" s="89">
        <v>42430</v>
      </c>
      <c r="F16" s="90">
        <v>9627</v>
      </c>
      <c r="G16" s="90" t="s">
        <v>137</v>
      </c>
      <c r="H16" s="90" t="s">
        <v>124</v>
      </c>
      <c r="I16" s="90" t="s">
        <v>125</v>
      </c>
      <c r="J16" s="90" t="s">
        <v>126</v>
      </c>
      <c r="K16" s="90">
        <v>100</v>
      </c>
      <c r="L16" s="91">
        <v>5120</v>
      </c>
      <c r="M16" s="92">
        <v>512000</v>
      </c>
      <c r="N16" s="91">
        <v>5108.6400000000003</v>
      </c>
      <c r="O16" s="92">
        <v>1136</v>
      </c>
    </row>
    <row r="17" spans="1:15" x14ac:dyDescent="0.2">
      <c r="A17">
        <v>2016</v>
      </c>
      <c r="B17">
        <v>2</v>
      </c>
      <c r="C17">
        <v>25</v>
      </c>
      <c r="D17" s="89">
        <v>42425</v>
      </c>
      <c r="E17" s="89">
        <v>42430</v>
      </c>
      <c r="F17" s="90">
        <v>9722</v>
      </c>
      <c r="G17" s="90" t="s">
        <v>135</v>
      </c>
      <c r="H17" s="90" t="s">
        <v>124</v>
      </c>
      <c r="I17" s="90" t="s">
        <v>125</v>
      </c>
      <c r="J17" s="90" t="s">
        <v>126</v>
      </c>
      <c r="K17" s="92">
        <v>1000</v>
      </c>
      <c r="L17" s="90">
        <v>569</v>
      </c>
      <c r="M17" s="92">
        <v>568038</v>
      </c>
      <c r="N17" s="90">
        <v>558.91999999999996</v>
      </c>
      <c r="O17" s="92">
        <v>9112</v>
      </c>
    </row>
    <row r="18" spans="1:15" x14ac:dyDescent="0.2">
      <c r="A18">
        <v>2016</v>
      </c>
      <c r="B18">
        <v>2</v>
      </c>
      <c r="C18">
        <v>29</v>
      </c>
      <c r="D18" s="89">
        <v>42429</v>
      </c>
      <c r="E18" s="89">
        <v>42432</v>
      </c>
      <c r="F18" s="90">
        <v>1808</v>
      </c>
      <c r="G18" s="90" t="s">
        <v>138</v>
      </c>
      <c r="H18" s="90" t="s">
        <v>124</v>
      </c>
      <c r="I18" s="90" t="s">
        <v>125</v>
      </c>
      <c r="J18" s="90" t="s">
        <v>126</v>
      </c>
      <c r="K18" s="90">
        <v>300</v>
      </c>
      <c r="L18" s="91">
        <v>1010</v>
      </c>
      <c r="M18" s="92">
        <v>302438</v>
      </c>
      <c r="N18" s="90">
        <v>983.54</v>
      </c>
      <c r="O18" s="92">
        <v>7375</v>
      </c>
    </row>
    <row r="19" spans="1:15" x14ac:dyDescent="0.2">
      <c r="D19" s="89">
        <v>42430</v>
      </c>
      <c r="E19" s="89">
        <v>42433</v>
      </c>
      <c r="F19" s="90">
        <v>5017</v>
      </c>
      <c r="G19" s="90" t="s">
        <v>221</v>
      </c>
      <c r="H19" s="90" t="s">
        <v>124</v>
      </c>
      <c r="I19" s="90" t="s">
        <v>125</v>
      </c>
      <c r="J19" s="90" t="s">
        <v>126</v>
      </c>
      <c r="K19" s="92">
        <v>1000</v>
      </c>
      <c r="L19" s="90">
        <v>321</v>
      </c>
      <c r="M19" s="92">
        <v>321000</v>
      </c>
      <c r="N19" s="90">
        <v>318.58</v>
      </c>
      <c r="O19" s="92">
        <v>2418</v>
      </c>
    </row>
    <row r="20" spans="1:15" x14ac:dyDescent="0.2">
      <c r="D20" s="89">
        <v>42430</v>
      </c>
      <c r="E20" s="89">
        <v>42433</v>
      </c>
      <c r="F20" s="90">
        <v>9616</v>
      </c>
      <c r="G20" s="90" t="s">
        <v>123</v>
      </c>
      <c r="H20" s="90" t="s">
        <v>124</v>
      </c>
      <c r="I20" s="90" t="s">
        <v>125</v>
      </c>
      <c r="J20" s="90" t="s">
        <v>126</v>
      </c>
      <c r="K20" s="90">
        <v>100</v>
      </c>
      <c r="L20" s="91">
        <v>8650</v>
      </c>
      <c r="M20" s="92">
        <v>863422</v>
      </c>
      <c r="N20" s="91">
        <v>8615.98</v>
      </c>
      <c r="O20" s="92">
        <v>1824</v>
      </c>
    </row>
    <row r="21" spans="1:15" x14ac:dyDescent="0.2">
      <c r="D21" s="89">
        <v>42431</v>
      </c>
      <c r="E21" s="89">
        <v>42436</v>
      </c>
      <c r="F21" s="90">
        <v>9064</v>
      </c>
      <c r="G21" s="90" t="s">
        <v>168</v>
      </c>
      <c r="H21" s="90" t="s">
        <v>124</v>
      </c>
      <c r="I21" s="90" t="s">
        <v>125</v>
      </c>
      <c r="J21" s="90" t="s">
        <v>126</v>
      </c>
      <c r="K21" s="90">
        <v>100</v>
      </c>
      <c r="L21" s="91">
        <v>2370</v>
      </c>
      <c r="M21" s="92">
        <v>236661</v>
      </c>
      <c r="N21" s="91">
        <v>2430.5500000000002</v>
      </c>
      <c r="O21" s="92">
        <v>-6394</v>
      </c>
    </row>
    <row r="22" spans="1:15" x14ac:dyDescent="0.2">
      <c r="D22" s="89">
        <v>42432</v>
      </c>
      <c r="E22" s="89">
        <v>42437</v>
      </c>
      <c r="F22" s="90">
        <v>3099</v>
      </c>
      <c r="G22" s="90" t="s">
        <v>222</v>
      </c>
      <c r="H22" s="90" t="s">
        <v>124</v>
      </c>
      <c r="I22" s="90" t="s">
        <v>125</v>
      </c>
      <c r="J22" s="90" t="s">
        <v>126</v>
      </c>
      <c r="K22" s="90">
        <v>300</v>
      </c>
      <c r="L22" s="91">
        <v>1386</v>
      </c>
      <c r="M22" s="92">
        <v>415114</v>
      </c>
      <c r="N22" s="91">
        <v>1367.95</v>
      </c>
      <c r="O22" s="92">
        <v>4727</v>
      </c>
    </row>
    <row r="23" spans="1:15" x14ac:dyDescent="0.2">
      <c r="D23" s="89">
        <v>42433</v>
      </c>
      <c r="E23" s="89">
        <v>42438</v>
      </c>
      <c r="F23" s="90">
        <v>5411</v>
      </c>
      <c r="G23" s="90" t="s">
        <v>129</v>
      </c>
      <c r="H23" s="90" t="s">
        <v>124</v>
      </c>
      <c r="I23" s="90" t="s">
        <v>125</v>
      </c>
      <c r="J23" s="90" t="s">
        <v>126</v>
      </c>
      <c r="K23" s="90">
        <v>400</v>
      </c>
      <c r="L23" s="91">
        <v>1620</v>
      </c>
      <c r="M23" s="92">
        <v>648000</v>
      </c>
      <c r="N23" s="91">
        <v>1599.44</v>
      </c>
      <c r="O23" s="92">
        <v>8223</v>
      </c>
    </row>
    <row r="24" spans="1:15" x14ac:dyDescent="0.2">
      <c r="D24" s="89">
        <v>42436</v>
      </c>
      <c r="E24" s="89">
        <v>42439</v>
      </c>
      <c r="F24" s="90">
        <v>9101</v>
      </c>
      <c r="G24" s="90" t="s">
        <v>167</v>
      </c>
      <c r="H24" s="90" t="s">
        <v>124</v>
      </c>
      <c r="I24" s="90" t="s">
        <v>125</v>
      </c>
      <c r="J24" s="90" t="s">
        <v>126</v>
      </c>
      <c r="K24" s="92">
        <v>2000</v>
      </c>
      <c r="L24" s="90">
        <v>243</v>
      </c>
      <c r="M24" s="92">
        <v>485537</v>
      </c>
      <c r="N24" s="90">
        <v>242.23</v>
      </c>
      <c r="O24" s="92">
        <v>1074</v>
      </c>
    </row>
    <row r="25" spans="1:15" x14ac:dyDescent="0.2">
      <c r="D25" s="89">
        <v>42437</v>
      </c>
      <c r="E25" s="89">
        <v>42440</v>
      </c>
      <c r="F25" s="90">
        <v>5411</v>
      </c>
      <c r="G25" s="90" t="s">
        <v>129</v>
      </c>
      <c r="H25" s="90" t="s">
        <v>124</v>
      </c>
      <c r="I25" s="90" t="s">
        <v>125</v>
      </c>
      <c r="J25" s="90" t="s">
        <v>126</v>
      </c>
      <c r="K25" s="90">
        <v>400</v>
      </c>
      <c r="L25" s="91">
        <v>1623</v>
      </c>
      <c r="M25" s="92">
        <v>649200</v>
      </c>
      <c r="N25" s="91">
        <v>1611.31</v>
      </c>
      <c r="O25" s="92">
        <v>4674</v>
      </c>
    </row>
    <row r="26" spans="1:15" x14ac:dyDescent="0.2">
      <c r="D26" s="89">
        <v>42438</v>
      </c>
      <c r="E26" s="89">
        <v>42443</v>
      </c>
      <c r="F26" s="90">
        <v>5411</v>
      </c>
      <c r="G26" s="90" t="s">
        <v>129</v>
      </c>
      <c r="H26" s="90" t="s">
        <v>124</v>
      </c>
      <c r="I26" s="90" t="s">
        <v>125</v>
      </c>
      <c r="J26" s="90" t="s">
        <v>126</v>
      </c>
      <c r="K26" s="90">
        <v>400</v>
      </c>
      <c r="L26" s="91">
        <v>1541</v>
      </c>
      <c r="M26" s="92">
        <v>616400</v>
      </c>
      <c r="N26" s="91">
        <v>1524.54</v>
      </c>
      <c r="O26" s="92">
        <v>6582</v>
      </c>
    </row>
    <row r="27" spans="1:15" x14ac:dyDescent="0.2">
      <c r="D27" s="89">
        <v>42439</v>
      </c>
      <c r="E27" s="89">
        <v>42444</v>
      </c>
      <c r="F27" s="90">
        <v>1808</v>
      </c>
      <c r="G27" s="90" t="s">
        <v>138</v>
      </c>
      <c r="H27" s="90" t="s">
        <v>124</v>
      </c>
      <c r="I27" s="90" t="s">
        <v>125</v>
      </c>
      <c r="J27" s="90" t="s">
        <v>126</v>
      </c>
      <c r="K27" s="90">
        <v>300</v>
      </c>
      <c r="L27" s="91">
        <v>1019</v>
      </c>
      <c r="M27" s="92">
        <v>305394</v>
      </c>
      <c r="N27" s="91">
        <v>1010.02</v>
      </c>
      <c r="O27" s="92">
        <v>2386</v>
      </c>
    </row>
    <row r="28" spans="1:15" x14ac:dyDescent="0.2">
      <c r="D28" s="89">
        <v>42439</v>
      </c>
      <c r="E28" s="89">
        <v>42444</v>
      </c>
      <c r="F28" s="90">
        <v>5411</v>
      </c>
      <c r="G28" s="90" t="s">
        <v>129</v>
      </c>
      <c r="H28" s="90" t="s">
        <v>124</v>
      </c>
      <c r="I28" s="90" t="s">
        <v>125</v>
      </c>
      <c r="J28" s="90" t="s">
        <v>126</v>
      </c>
      <c r="K28" s="90">
        <v>400</v>
      </c>
      <c r="L28" s="91">
        <v>1547</v>
      </c>
      <c r="M28" s="92">
        <v>618800</v>
      </c>
      <c r="N28" s="91">
        <v>1540.55</v>
      </c>
      <c r="O28" s="92">
        <v>2580</v>
      </c>
    </row>
    <row r="29" spans="1:15" x14ac:dyDescent="0.2">
      <c r="D29" s="89">
        <v>42440</v>
      </c>
      <c r="E29" s="89">
        <v>42445</v>
      </c>
      <c r="F29" s="90">
        <v>9104</v>
      </c>
      <c r="G29" s="90" t="s">
        <v>223</v>
      </c>
      <c r="H29" s="90" t="s">
        <v>124</v>
      </c>
      <c r="I29" s="90" t="s">
        <v>125</v>
      </c>
      <c r="J29" s="90" t="s">
        <v>126</v>
      </c>
      <c r="K29" s="92">
        <v>3000</v>
      </c>
      <c r="L29" s="90">
        <v>249</v>
      </c>
      <c r="M29" s="92">
        <v>747000</v>
      </c>
      <c r="N29" s="90">
        <v>245.3</v>
      </c>
      <c r="O29" s="92">
        <v>11074</v>
      </c>
    </row>
    <row r="30" spans="1:15" x14ac:dyDescent="0.2">
      <c r="D30" s="89">
        <v>42446</v>
      </c>
      <c r="E30" s="89">
        <v>42452</v>
      </c>
      <c r="F30" s="90">
        <v>9616</v>
      </c>
      <c r="G30" s="90" t="s">
        <v>123</v>
      </c>
      <c r="H30" s="90" t="s">
        <v>124</v>
      </c>
      <c r="I30" s="90" t="s">
        <v>125</v>
      </c>
      <c r="J30" s="90" t="s">
        <v>126</v>
      </c>
      <c r="K30" s="90">
        <v>100</v>
      </c>
      <c r="L30" s="91">
        <v>9060</v>
      </c>
      <c r="M30" s="92">
        <v>904900</v>
      </c>
      <c r="N30" s="91">
        <v>8954.74</v>
      </c>
      <c r="O30" s="92">
        <v>9426</v>
      </c>
    </row>
    <row r="31" spans="1:15" x14ac:dyDescent="0.2">
      <c r="D31" s="89">
        <v>42457</v>
      </c>
      <c r="E31" s="89">
        <v>42460</v>
      </c>
      <c r="F31" s="90">
        <v>5411</v>
      </c>
      <c r="G31" s="90" t="s">
        <v>129</v>
      </c>
      <c r="H31" s="90" t="s">
        <v>124</v>
      </c>
      <c r="I31" s="90" t="s">
        <v>125</v>
      </c>
      <c r="J31" s="90" t="s">
        <v>126</v>
      </c>
      <c r="K31" s="90">
        <v>400</v>
      </c>
      <c r="L31" s="91">
        <v>1571</v>
      </c>
      <c r="M31" s="92">
        <v>628400</v>
      </c>
      <c r="N31" s="91">
        <v>1557.74</v>
      </c>
      <c r="O31" s="92">
        <v>5302</v>
      </c>
    </row>
    <row r="32" spans="1:15" x14ac:dyDescent="0.2">
      <c r="D32" s="89">
        <v>42457</v>
      </c>
      <c r="E32" s="89">
        <v>42460</v>
      </c>
      <c r="F32" s="90">
        <v>6752</v>
      </c>
      <c r="G32" s="90" t="s">
        <v>132</v>
      </c>
      <c r="H32" s="90" t="s">
        <v>124</v>
      </c>
      <c r="I32" s="90" t="s">
        <v>125</v>
      </c>
      <c r="J32" s="90" t="s">
        <v>126</v>
      </c>
      <c r="K32" s="90">
        <v>400</v>
      </c>
      <c r="L32" s="91">
        <v>1006</v>
      </c>
      <c r="M32" s="92">
        <v>402400</v>
      </c>
      <c r="N32" s="91">
        <v>1002.13</v>
      </c>
      <c r="O32" s="92">
        <v>1545</v>
      </c>
    </row>
    <row r="33" spans="4:15" x14ac:dyDescent="0.2">
      <c r="D33" s="89">
        <v>42457</v>
      </c>
      <c r="E33" s="89">
        <v>42460</v>
      </c>
      <c r="F33" s="90">
        <v>7282</v>
      </c>
      <c r="G33" s="90" t="s">
        <v>224</v>
      </c>
      <c r="H33" s="90" t="s">
        <v>124</v>
      </c>
      <c r="I33" s="90" t="s">
        <v>125</v>
      </c>
      <c r="J33" s="90" t="s">
        <v>126</v>
      </c>
      <c r="K33" s="90">
        <v>400</v>
      </c>
      <c r="L33" s="91">
        <v>2237</v>
      </c>
      <c r="M33" s="92">
        <v>893793</v>
      </c>
      <c r="N33" s="91">
        <v>2210.2199999999998</v>
      </c>
      <c r="O33" s="92">
        <v>9704</v>
      </c>
    </row>
    <row r="34" spans="4:15" x14ac:dyDescent="0.2">
      <c r="D34" s="89">
        <v>42458</v>
      </c>
      <c r="E34" s="89">
        <v>42461</v>
      </c>
      <c r="F34" s="90">
        <v>1808</v>
      </c>
      <c r="G34" s="90" t="s">
        <v>138</v>
      </c>
      <c r="H34" s="90" t="s">
        <v>124</v>
      </c>
      <c r="I34" s="90" t="s">
        <v>125</v>
      </c>
      <c r="J34" s="90" t="s">
        <v>126</v>
      </c>
      <c r="K34" s="90">
        <v>500</v>
      </c>
      <c r="L34" s="91">
        <v>1102</v>
      </c>
      <c r="M34" s="92">
        <v>551000</v>
      </c>
      <c r="N34" s="91">
        <v>1081.96</v>
      </c>
      <c r="O34" s="92">
        <v>10019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CCFF"/>
  </sheetPr>
  <dimension ref="A1:AE72"/>
  <sheetViews>
    <sheetView zoomScale="80" zoomScaleNormal="80" workbookViewId="0">
      <pane xSplit="3" ySplit="1" topLeftCell="I38" activePane="bottomRight" state="frozen"/>
      <selection activeCell="B29" sqref="B29"/>
      <selection pane="topRight" activeCell="B29" sqref="B29"/>
      <selection pane="bottomLeft" activeCell="B29" sqref="B29"/>
      <selection pane="bottomRight" activeCell="AH13" sqref="AH13"/>
    </sheetView>
  </sheetViews>
  <sheetFormatPr defaultRowHeight="13" x14ac:dyDescent="0.2"/>
  <cols>
    <col min="1" max="1" width="6.08984375" customWidth="1"/>
    <col min="2" max="3" width="3.08984375" customWidth="1"/>
    <col min="4" max="5" width="9.7265625" customWidth="1"/>
    <col min="6" max="6" width="6.36328125" customWidth="1"/>
    <col min="7" max="7" width="17.36328125" customWidth="1"/>
    <col min="8" max="11" width="4.7265625" customWidth="1"/>
    <col min="12" max="13" width="4.453125" customWidth="1"/>
    <col min="19" max="19" width="8.08984375" customWidth="1"/>
    <col min="21" max="31" width="6.26953125" customWidth="1"/>
  </cols>
  <sheetData>
    <row r="1" spans="1:31" s="88" customFormat="1" ht="33" customHeight="1" x14ac:dyDescent="0.2">
      <c r="A1" s="93" t="s">
        <v>108</v>
      </c>
      <c r="B1" s="93" t="s">
        <v>109</v>
      </c>
      <c r="C1" s="93" t="s">
        <v>110</v>
      </c>
      <c r="D1" s="94" t="s">
        <v>111</v>
      </c>
      <c r="E1" s="95" t="s">
        <v>139</v>
      </c>
      <c r="F1" s="95" t="s">
        <v>113</v>
      </c>
      <c r="G1" s="95" t="s">
        <v>114</v>
      </c>
      <c r="H1" s="95" t="s">
        <v>140</v>
      </c>
      <c r="I1" s="95" t="s">
        <v>141</v>
      </c>
      <c r="J1" s="95" t="s">
        <v>142</v>
      </c>
      <c r="K1" s="95" t="s">
        <v>143</v>
      </c>
      <c r="L1" s="95" t="s">
        <v>116</v>
      </c>
      <c r="M1" s="95" t="s">
        <v>144</v>
      </c>
      <c r="N1" s="95" t="s">
        <v>145</v>
      </c>
      <c r="O1" s="95" t="s">
        <v>146</v>
      </c>
      <c r="P1" s="95" t="s">
        <v>147</v>
      </c>
      <c r="Q1" s="95" t="s">
        <v>148</v>
      </c>
      <c r="R1" s="95" t="s">
        <v>149</v>
      </c>
      <c r="S1" s="95" t="s">
        <v>150</v>
      </c>
      <c r="T1" s="95" t="s">
        <v>151</v>
      </c>
      <c r="U1" s="95" t="s">
        <v>152</v>
      </c>
      <c r="V1" s="95" t="s">
        <v>153</v>
      </c>
      <c r="W1" s="95" t="s">
        <v>154</v>
      </c>
      <c r="X1" s="95" t="s">
        <v>155</v>
      </c>
      <c r="Y1" s="95" t="s">
        <v>156</v>
      </c>
      <c r="Z1" s="95" t="s">
        <v>157</v>
      </c>
      <c r="AA1" s="95" t="s">
        <v>158</v>
      </c>
      <c r="AB1" s="95" t="s">
        <v>159</v>
      </c>
      <c r="AC1" s="95" t="s">
        <v>160</v>
      </c>
      <c r="AD1" s="95" t="s">
        <v>161</v>
      </c>
      <c r="AE1" s="95" t="s">
        <v>162</v>
      </c>
    </row>
    <row r="2" spans="1:31" x14ac:dyDescent="0.2">
      <c r="A2">
        <v>2016</v>
      </c>
      <c r="B2">
        <v>2</v>
      </c>
      <c r="C2">
        <v>1</v>
      </c>
      <c r="D2" s="89">
        <v>42401</v>
      </c>
      <c r="E2" s="89">
        <v>42404</v>
      </c>
      <c r="F2" s="90">
        <v>9616</v>
      </c>
      <c r="G2" s="90" t="s">
        <v>123</v>
      </c>
      <c r="H2" s="90" t="s">
        <v>163</v>
      </c>
      <c r="I2" s="90" t="s">
        <v>124</v>
      </c>
      <c r="J2" s="90" t="s">
        <v>164</v>
      </c>
      <c r="K2" s="90" t="s">
        <v>165</v>
      </c>
      <c r="L2" s="90" t="s">
        <v>125</v>
      </c>
      <c r="M2" s="90" t="s">
        <v>125</v>
      </c>
      <c r="N2" s="90">
        <v>100</v>
      </c>
      <c r="O2" s="91">
        <v>9480</v>
      </c>
      <c r="P2" s="90">
        <v>609</v>
      </c>
      <c r="Q2" s="90">
        <v>48</v>
      </c>
      <c r="R2" s="90">
        <v>0</v>
      </c>
      <c r="S2" s="90" t="s">
        <v>125</v>
      </c>
      <c r="T2" s="92">
        <v>948657</v>
      </c>
      <c r="U2" s="90" t="s">
        <v>125</v>
      </c>
      <c r="V2" s="90">
        <v>0</v>
      </c>
      <c r="W2" s="90">
        <v>0</v>
      </c>
      <c r="X2" s="90">
        <v>0</v>
      </c>
      <c r="Y2" s="90">
        <v>0</v>
      </c>
      <c r="Z2" s="90">
        <v>0</v>
      </c>
      <c r="AA2" s="90">
        <v>0</v>
      </c>
      <c r="AB2" s="90">
        <v>0</v>
      </c>
      <c r="AC2" s="90">
        <v>0</v>
      </c>
      <c r="AD2" s="90">
        <v>0</v>
      </c>
      <c r="AE2" s="90">
        <v>0</v>
      </c>
    </row>
    <row r="3" spans="1:31" x14ac:dyDescent="0.2">
      <c r="A3">
        <v>2016</v>
      </c>
      <c r="B3">
        <v>2</v>
      </c>
      <c r="C3">
        <v>1</v>
      </c>
      <c r="D3" s="89">
        <v>42401</v>
      </c>
      <c r="E3" s="89">
        <v>42404</v>
      </c>
      <c r="F3" s="90">
        <v>9616</v>
      </c>
      <c r="G3" s="90" t="s">
        <v>123</v>
      </c>
      <c r="H3" s="90" t="s">
        <v>163</v>
      </c>
      <c r="I3" s="90" t="s">
        <v>124</v>
      </c>
      <c r="J3" s="90" t="s">
        <v>164</v>
      </c>
      <c r="K3" s="90" t="s">
        <v>126</v>
      </c>
      <c r="L3" s="90" t="s">
        <v>125</v>
      </c>
      <c r="M3" s="90" t="s">
        <v>125</v>
      </c>
      <c r="N3" s="90">
        <v>100</v>
      </c>
      <c r="O3" s="91">
        <v>9660</v>
      </c>
      <c r="P3" s="90">
        <v>609</v>
      </c>
      <c r="Q3" s="90">
        <v>48</v>
      </c>
      <c r="R3" s="90">
        <v>0</v>
      </c>
      <c r="S3" s="90" t="s">
        <v>166</v>
      </c>
      <c r="T3" s="92">
        <v>965343</v>
      </c>
      <c r="U3" s="90" t="s">
        <v>125</v>
      </c>
      <c r="V3" s="90">
        <v>0</v>
      </c>
      <c r="W3" s="90">
        <v>0</v>
      </c>
      <c r="X3" s="90">
        <v>0</v>
      </c>
      <c r="Y3" s="90">
        <v>0</v>
      </c>
      <c r="Z3" s="90">
        <v>0</v>
      </c>
      <c r="AA3" s="90">
        <v>0</v>
      </c>
      <c r="AB3" s="90">
        <v>0</v>
      </c>
      <c r="AC3" s="90">
        <v>0</v>
      </c>
      <c r="AD3" s="90">
        <v>0</v>
      </c>
      <c r="AE3" s="90">
        <v>0</v>
      </c>
    </row>
    <row r="4" spans="1:31" x14ac:dyDescent="0.2">
      <c r="A4">
        <v>2016</v>
      </c>
      <c r="B4">
        <v>2</v>
      </c>
      <c r="C4">
        <v>2</v>
      </c>
      <c r="D4" s="89">
        <v>42402</v>
      </c>
      <c r="E4" s="89">
        <v>42405</v>
      </c>
      <c r="F4" s="90">
        <v>4523</v>
      </c>
      <c r="G4" s="90" t="s">
        <v>127</v>
      </c>
      <c r="H4" s="90" t="s">
        <v>163</v>
      </c>
      <c r="I4" s="90" t="s">
        <v>124</v>
      </c>
      <c r="J4" s="90" t="s">
        <v>164</v>
      </c>
      <c r="K4" s="90" t="s">
        <v>165</v>
      </c>
      <c r="L4" s="90" t="s">
        <v>125</v>
      </c>
      <c r="M4" s="90" t="s">
        <v>125</v>
      </c>
      <c r="N4" s="90">
        <v>100</v>
      </c>
      <c r="O4" s="91">
        <v>7760</v>
      </c>
      <c r="P4" s="90">
        <v>609</v>
      </c>
      <c r="Q4" s="90">
        <v>48</v>
      </c>
      <c r="R4" s="90">
        <v>0</v>
      </c>
      <c r="S4" s="90" t="s">
        <v>125</v>
      </c>
      <c r="T4" s="92">
        <v>776657</v>
      </c>
      <c r="U4" s="90" t="s">
        <v>125</v>
      </c>
      <c r="V4" s="90">
        <v>0</v>
      </c>
      <c r="W4" s="90">
        <v>0</v>
      </c>
      <c r="X4" s="90">
        <v>0</v>
      </c>
      <c r="Y4" s="90">
        <v>0</v>
      </c>
      <c r="Z4" s="90">
        <v>0</v>
      </c>
      <c r="AA4" s="90">
        <v>0</v>
      </c>
      <c r="AB4" s="90">
        <v>0</v>
      </c>
      <c r="AC4" s="90">
        <v>0</v>
      </c>
      <c r="AD4" s="90">
        <v>0</v>
      </c>
      <c r="AE4" s="90">
        <v>0</v>
      </c>
    </row>
    <row r="5" spans="1:31" x14ac:dyDescent="0.2">
      <c r="A5">
        <v>2016</v>
      </c>
      <c r="B5">
        <v>2</v>
      </c>
      <c r="C5">
        <v>2</v>
      </c>
      <c r="D5" s="89">
        <v>42402</v>
      </c>
      <c r="E5" s="89">
        <v>42405</v>
      </c>
      <c r="F5" s="90">
        <v>4523</v>
      </c>
      <c r="G5" s="90" t="s">
        <v>127</v>
      </c>
      <c r="H5" s="90" t="s">
        <v>163</v>
      </c>
      <c r="I5" s="90" t="s">
        <v>124</v>
      </c>
      <c r="J5" s="90" t="s">
        <v>164</v>
      </c>
      <c r="K5" s="90" t="s">
        <v>126</v>
      </c>
      <c r="L5" s="90" t="s">
        <v>125</v>
      </c>
      <c r="M5" s="90" t="s">
        <v>125</v>
      </c>
      <c r="N5" s="90">
        <v>100</v>
      </c>
      <c r="O5" s="91">
        <v>7800</v>
      </c>
      <c r="P5" s="90">
        <v>609</v>
      </c>
      <c r="Q5" s="90">
        <v>48</v>
      </c>
      <c r="R5" s="90">
        <v>0</v>
      </c>
      <c r="S5" s="90" t="s">
        <v>166</v>
      </c>
      <c r="T5" s="92">
        <v>779343</v>
      </c>
      <c r="U5" s="90" t="s">
        <v>125</v>
      </c>
      <c r="V5" s="90">
        <v>0</v>
      </c>
      <c r="W5" s="90">
        <v>0</v>
      </c>
      <c r="X5" s="90">
        <v>0</v>
      </c>
      <c r="Y5" s="90">
        <v>0</v>
      </c>
      <c r="Z5" s="90">
        <v>0</v>
      </c>
      <c r="AA5" s="90">
        <v>0</v>
      </c>
      <c r="AB5" s="90">
        <v>0</v>
      </c>
      <c r="AC5" s="90">
        <v>0</v>
      </c>
      <c r="AD5" s="90">
        <v>0</v>
      </c>
      <c r="AE5" s="90">
        <v>0</v>
      </c>
    </row>
    <row r="6" spans="1:31" x14ac:dyDescent="0.2">
      <c r="A6">
        <v>2016</v>
      </c>
      <c r="B6">
        <v>2</v>
      </c>
      <c r="C6">
        <v>2</v>
      </c>
      <c r="D6" s="89">
        <v>42402</v>
      </c>
      <c r="E6" s="89">
        <v>42405</v>
      </c>
      <c r="F6" s="90">
        <v>7267</v>
      </c>
      <c r="G6" s="90" t="s">
        <v>128</v>
      </c>
      <c r="H6" s="90" t="s">
        <v>163</v>
      </c>
      <c r="I6" s="90" t="s">
        <v>124</v>
      </c>
      <c r="J6" s="90" t="s">
        <v>164</v>
      </c>
      <c r="K6" s="90" t="s">
        <v>165</v>
      </c>
      <c r="L6" s="90" t="s">
        <v>125</v>
      </c>
      <c r="M6" s="90" t="s">
        <v>125</v>
      </c>
      <c r="N6" s="90">
        <v>100</v>
      </c>
      <c r="O6" s="91">
        <v>3430</v>
      </c>
      <c r="P6" s="90">
        <v>341</v>
      </c>
      <c r="Q6" s="90">
        <v>27</v>
      </c>
      <c r="R6" s="90">
        <v>0</v>
      </c>
      <c r="S6" s="90" t="s">
        <v>125</v>
      </c>
      <c r="T6" s="92">
        <v>343368</v>
      </c>
      <c r="U6" s="90" t="s">
        <v>125</v>
      </c>
      <c r="V6" s="90">
        <v>0</v>
      </c>
      <c r="W6" s="90">
        <v>0</v>
      </c>
      <c r="X6" s="90">
        <v>0</v>
      </c>
      <c r="Y6" s="90">
        <v>0</v>
      </c>
      <c r="Z6" s="90">
        <v>0</v>
      </c>
      <c r="AA6" s="90">
        <v>0</v>
      </c>
      <c r="AB6" s="90">
        <v>0</v>
      </c>
      <c r="AC6" s="90">
        <v>0</v>
      </c>
      <c r="AD6" s="90">
        <v>0</v>
      </c>
      <c r="AE6" s="90">
        <v>0</v>
      </c>
    </row>
    <row r="7" spans="1:31" x14ac:dyDescent="0.2">
      <c r="A7">
        <v>2016</v>
      </c>
      <c r="B7">
        <v>2</v>
      </c>
      <c r="C7">
        <v>2</v>
      </c>
      <c r="D7" s="89">
        <v>42402</v>
      </c>
      <c r="E7" s="89">
        <v>42405</v>
      </c>
      <c r="F7" s="90">
        <v>7267</v>
      </c>
      <c r="G7" s="90" t="s">
        <v>128</v>
      </c>
      <c r="H7" s="90" t="s">
        <v>163</v>
      </c>
      <c r="I7" s="90" t="s">
        <v>124</v>
      </c>
      <c r="J7" s="90" t="s">
        <v>164</v>
      </c>
      <c r="K7" s="90" t="s">
        <v>126</v>
      </c>
      <c r="L7" s="90" t="s">
        <v>125</v>
      </c>
      <c r="M7" s="90" t="s">
        <v>125</v>
      </c>
      <c r="N7" s="90">
        <v>100</v>
      </c>
      <c r="O7" s="91">
        <v>3400</v>
      </c>
      <c r="P7" s="90">
        <v>341</v>
      </c>
      <c r="Q7" s="90">
        <v>27</v>
      </c>
      <c r="R7" s="90">
        <v>0</v>
      </c>
      <c r="S7" s="90" t="s">
        <v>166</v>
      </c>
      <c r="T7" s="92">
        <v>339632</v>
      </c>
      <c r="U7" s="90" t="s">
        <v>125</v>
      </c>
      <c r="V7" s="90">
        <v>0</v>
      </c>
      <c r="W7" s="90">
        <v>0</v>
      </c>
      <c r="X7" s="90">
        <v>0</v>
      </c>
      <c r="Y7" s="90">
        <v>0</v>
      </c>
      <c r="Z7" s="90">
        <v>0</v>
      </c>
      <c r="AA7" s="90">
        <v>0</v>
      </c>
      <c r="AB7" s="90">
        <v>0</v>
      </c>
      <c r="AC7" s="90">
        <v>0</v>
      </c>
      <c r="AD7" s="90">
        <v>0</v>
      </c>
      <c r="AE7" s="90">
        <v>0</v>
      </c>
    </row>
    <row r="8" spans="1:31" x14ac:dyDescent="0.2">
      <c r="A8">
        <v>2016</v>
      </c>
      <c r="B8">
        <v>2</v>
      </c>
      <c r="C8">
        <v>4</v>
      </c>
      <c r="D8" s="89">
        <v>42404</v>
      </c>
      <c r="E8" s="89">
        <v>42409</v>
      </c>
      <c r="F8" s="90">
        <v>5411</v>
      </c>
      <c r="G8" s="90" t="s">
        <v>129</v>
      </c>
      <c r="H8" s="90" t="s">
        <v>163</v>
      </c>
      <c r="I8" s="90" t="s">
        <v>124</v>
      </c>
      <c r="J8" s="90" t="s">
        <v>164</v>
      </c>
      <c r="K8" s="90" t="s">
        <v>165</v>
      </c>
      <c r="L8" s="90" t="s">
        <v>125</v>
      </c>
      <c r="M8" s="90" t="s">
        <v>125</v>
      </c>
      <c r="N8" s="90">
        <v>300</v>
      </c>
      <c r="O8" s="91">
        <v>1455</v>
      </c>
      <c r="P8" s="90">
        <v>341</v>
      </c>
      <c r="Q8" s="90">
        <v>27</v>
      </c>
      <c r="R8" s="90">
        <v>0</v>
      </c>
      <c r="S8" s="90" t="s">
        <v>125</v>
      </c>
      <c r="T8" s="92">
        <v>436868</v>
      </c>
      <c r="U8" s="90" t="s">
        <v>125</v>
      </c>
      <c r="V8" s="90">
        <v>0</v>
      </c>
      <c r="W8" s="90">
        <v>0</v>
      </c>
      <c r="X8" s="90">
        <v>0</v>
      </c>
      <c r="Y8" s="90">
        <v>0</v>
      </c>
      <c r="Z8" s="90">
        <v>0</v>
      </c>
      <c r="AA8" s="90">
        <v>0</v>
      </c>
      <c r="AB8" s="90">
        <v>0</v>
      </c>
      <c r="AC8" s="90">
        <v>0</v>
      </c>
      <c r="AD8" s="90">
        <v>0</v>
      </c>
      <c r="AE8" s="90">
        <v>0</v>
      </c>
    </row>
    <row r="9" spans="1:31" x14ac:dyDescent="0.2">
      <c r="A9">
        <v>2016</v>
      </c>
      <c r="B9">
        <v>2</v>
      </c>
      <c r="C9">
        <v>4</v>
      </c>
      <c r="D9" s="89">
        <v>42404</v>
      </c>
      <c r="E9" s="89">
        <v>42409</v>
      </c>
      <c r="F9" s="90">
        <v>5411</v>
      </c>
      <c r="G9" s="90" t="s">
        <v>129</v>
      </c>
      <c r="H9" s="90" t="s">
        <v>163</v>
      </c>
      <c r="I9" s="90" t="s">
        <v>124</v>
      </c>
      <c r="J9" s="90" t="s">
        <v>164</v>
      </c>
      <c r="K9" s="90" t="s">
        <v>126</v>
      </c>
      <c r="L9" s="90" t="s">
        <v>125</v>
      </c>
      <c r="M9" s="90" t="s">
        <v>125</v>
      </c>
      <c r="N9" s="90">
        <v>300</v>
      </c>
      <c r="O9" s="91">
        <v>1480</v>
      </c>
      <c r="P9" s="90">
        <v>341</v>
      </c>
      <c r="Q9" s="90">
        <v>27</v>
      </c>
      <c r="R9" s="90">
        <v>0</v>
      </c>
      <c r="S9" s="90" t="s">
        <v>166</v>
      </c>
      <c r="T9" s="92">
        <v>443632</v>
      </c>
      <c r="U9" s="90" t="s">
        <v>125</v>
      </c>
      <c r="V9" s="90">
        <v>0</v>
      </c>
      <c r="W9" s="90">
        <v>0</v>
      </c>
      <c r="X9" s="90">
        <v>0</v>
      </c>
      <c r="Y9" s="90">
        <v>0</v>
      </c>
      <c r="Z9" s="90">
        <v>0</v>
      </c>
      <c r="AA9" s="90">
        <v>0</v>
      </c>
      <c r="AB9" s="90">
        <v>0</v>
      </c>
      <c r="AC9" s="90">
        <v>0</v>
      </c>
      <c r="AD9" s="90">
        <v>0</v>
      </c>
      <c r="AE9" s="90">
        <v>0</v>
      </c>
    </row>
    <row r="10" spans="1:31" x14ac:dyDescent="0.2">
      <c r="A10">
        <v>2016</v>
      </c>
      <c r="B10">
        <v>2</v>
      </c>
      <c r="C10">
        <v>5</v>
      </c>
      <c r="D10" s="89">
        <v>42405</v>
      </c>
      <c r="E10" s="89">
        <v>42410</v>
      </c>
      <c r="F10" s="90">
        <v>2264</v>
      </c>
      <c r="G10" s="90" t="s">
        <v>130</v>
      </c>
      <c r="H10" s="90" t="s">
        <v>163</v>
      </c>
      <c r="I10" s="90" t="s">
        <v>124</v>
      </c>
      <c r="J10" s="90" t="s">
        <v>164</v>
      </c>
      <c r="K10" s="90" t="s">
        <v>165</v>
      </c>
      <c r="L10" s="90" t="s">
        <v>125</v>
      </c>
      <c r="M10" s="90" t="s">
        <v>125</v>
      </c>
      <c r="N10" s="92">
        <v>1000</v>
      </c>
      <c r="O10" s="90">
        <v>558</v>
      </c>
      <c r="P10" s="90">
        <v>609</v>
      </c>
      <c r="Q10" s="90">
        <v>48</v>
      </c>
      <c r="R10" s="90">
        <v>0</v>
      </c>
      <c r="S10" s="90" t="s">
        <v>125</v>
      </c>
      <c r="T10" s="92">
        <v>558657</v>
      </c>
      <c r="U10" s="90" t="s">
        <v>125</v>
      </c>
      <c r="V10" s="90">
        <v>0</v>
      </c>
      <c r="W10" s="90">
        <v>0</v>
      </c>
      <c r="X10" s="90">
        <v>0</v>
      </c>
      <c r="Y10" s="90">
        <v>0</v>
      </c>
      <c r="Z10" s="90">
        <v>0</v>
      </c>
      <c r="AA10" s="90">
        <v>0</v>
      </c>
      <c r="AB10" s="90">
        <v>0</v>
      </c>
      <c r="AC10" s="90">
        <v>0</v>
      </c>
      <c r="AD10" s="90">
        <v>0</v>
      </c>
      <c r="AE10" s="90">
        <v>0</v>
      </c>
    </row>
    <row r="11" spans="1:31" x14ac:dyDescent="0.2">
      <c r="A11">
        <v>2016</v>
      </c>
      <c r="B11">
        <v>2</v>
      </c>
      <c r="C11">
        <v>5</v>
      </c>
      <c r="D11" s="89">
        <v>42405</v>
      </c>
      <c r="E11" s="89">
        <v>42410</v>
      </c>
      <c r="F11" s="90">
        <v>2264</v>
      </c>
      <c r="G11" s="90" t="s">
        <v>130</v>
      </c>
      <c r="H11" s="90" t="s">
        <v>163</v>
      </c>
      <c r="I11" s="90" t="s">
        <v>124</v>
      </c>
      <c r="J11" s="90" t="s">
        <v>164</v>
      </c>
      <c r="K11" s="90" t="s">
        <v>165</v>
      </c>
      <c r="L11" s="90" t="s">
        <v>125</v>
      </c>
      <c r="M11" s="90" t="s">
        <v>125</v>
      </c>
      <c r="N11" s="92">
        <v>1000</v>
      </c>
      <c r="O11" s="90">
        <v>522</v>
      </c>
      <c r="P11" s="90">
        <v>609</v>
      </c>
      <c r="Q11" s="90">
        <v>48</v>
      </c>
      <c r="R11" s="90">
        <v>0</v>
      </c>
      <c r="S11" s="90" t="s">
        <v>125</v>
      </c>
      <c r="T11" s="92">
        <v>522657</v>
      </c>
      <c r="U11" s="90" t="s">
        <v>125</v>
      </c>
      <c r="V11" s="90">
        <v>0</v>
      </c>
      <c r="W11" s="90">
        <v>0</v>
      </c>
      <c r="X11" s="90">
        <v>0</v>
      </c>
      <c r="Y11" s="90">
        <v>0</v>
      </c>
      <c r="Z11" s="90">
        <v>0</v>
      </c>
      <c r="AA11" s="90">
        <v>0</v>
      </c>
      <c r="AB11" s="90">
        <v>0</v>
      </c>
      <c r="AC11" s="90">
        <v>0</v>
      </c>
      <c r="AD11" s="90">
        <v>0</v>
      </c>
      <c r="AE11" s="90">
        <v>0</v>
      </c>
    </row>
    <row r="12" spans="1:31" x14ac:dyDescent="0.2">
      <c r="A12">
        <v>2016</v>
      </c>
      <c r="B12">
        <v>2</v>
      </c>
      <c r="C12">
        <v>5</v>
      </c>
      <c r="D12" s="89">
        <v>42405</v>
      </c>
      <c r="E12" s="89">
        <v>42410</v>
      </c>
      <c r="F12" s="90">
        <v>2264</v>
      </c>
      <c r="G12" s="90" t="s">
        <v>130</v>
      </c>
      <c r="H12" s="90" t="s">
        <v>163</v>
      </c>
      <c r="I12" s="90" t="s">
        <v>124</v>
      </c>
      <c r="J12" s="90" t="s">
        <v>164</v>
      </c>
      <c r="K12" s="90" t="s">
        <v>126</v>
      </c>
      <c r="L12" s="90" t="s">
        <v>125</v>
      </c>
      <c r="M12" s="90" t="s">
        <v>125</v>
      </c>
      <c r="N12" s="92">
        <v>1000</v>
      </c>
      <c r="O12" s="90">
        <v>566</v>
      </c>
      <c r="P12" s="90">
        <v>609</v>
      </c>
      <c r="Q12" s="90">
        <v>48</v>
      </c>
      <c r="R12" s="90">
        <v>0</v>
      </c>
      <c r="S12" s="90" t="s">
        <v>166</v>
      </c>
      <c r="T12" s="92">
        <v>565343</v>
      </c>
      <c r="U12" s="90" t="s">
        <v>125</v>
      </c>
      <c r="V12" s="90">
        <v>0</v>
      </c>
      <c r="W12" s="90">
        <v>0</v>
      </c>
      <c r="X12" s="90">
        <v>0</v>
      </c>
      <c r="Y12" s="90">
        <v>0</v>
      </c>
      <c r="Z12" s="90">
        <v>0</v>
      </c>
      <c r="AA12" s="90">
        <v>0</v>
      </c>
      <c r="AB12" s="90">
        <v>0</v>
      </c>
      <c r="AC12" s="90">
        <v>0</v>
      </c>
      <c r="AD12" s="90">
        <v>0</v>
      </c>
      <c r="AE12" s="90">
        <v>0</v>
      </c>
    </row>
    <row r="13" spans="1:31" x14ac:dyDescent="0.2">
      <c r="A13">
        <v>2016</v>
      </c>
      <c r="B13">
        <v>2</v>
      </c>
      <c r="C13">
        <v>5</v>
      </c>
      <c r="D13" s="89">
        <v>42405</v>
      </c>
      <c r="E13" s="89">
        <v>42410</v>
      </c>
      <c r="F13" s="90">
        <v>2264</v>
      </c>
      <c r="G13" s="90" t="s">
        <v>130</v>
      </c>
      <c r="H13" s="90" t="s">
        <v>163</v>
      </c>
      <c r="I13" s="90" t="s">
        <v>124</v>
      </c>
      <c r="J13" s="90" t="s">
        <v>164</v>
      </c>
      <c r="K13" s="90" t="s">
        <v>126</v>
      </c>
      <c r="L13" s="90" t="s">
        <v>125</v>
      </c>
      <c r="M13" s="90" t="s">
        <v>125</v>
      </c>
      <c r="N13" s="92">
        <v>1000</v>
      </c>
      <c r="O13" s="90">
        <v>532</v>
      </c>
      <c r="P13" s="90">
        <v>609</v>
      </c>
      <c r="Q13" s="90">
        <v>48</v>
      </c>
      <c r="R13" s="90">
        <v>0</v>
      </c>
      <c r="S13" s="90" t="s">
        <v>166</v>
      </c>
      <c r="T13" s="92">
        <v>531343</v>
      </c>
      <c r="U13" s="90" t="s">
        <v>125</v>
      </c>
      <c r="V13" s="90">
        <v>0</v>
      </c>
      <c r="W13" s="90">
        <v>0</v>
      </c>
      <c r="X13" s="90">
        <v>0</v>
      </c>
      <c r="Y13" s="90">
        <v>0</v>
      </c>
      <c r="Z13" s="90">
        <v>0</v>
      </c>
      <c r="AA13" s="90">
        <v>0</v>
      </c>
      <c r="AB13" s="90">
        <v>0</v>
      </c>
      <c r="AC13" s="90">
        <v>0</v>
      </c>
      <c r="AD13" s="90">
        <v>0</v>
      </c>
      <c r="AE13" s="90">
        <v>0</v>
      </c>
    </row>
    <row r="14" spans="1:31" x14ac:dyDescent="0.2">
      <c r="A14">
        <v>2016</v>
      </c>
      <c r="B14">
        <v>2</v>
      </c>
      <c r="C14">
        <v>8</v>
      </c>
      <c r="D14" s="89">
        <v>42408</v>
      </c>
      <c r="E14" s="89">
        <v>42412</v>
      </c>
      <c r="F14" s="90">
        <v>9101</v>
      </c>
      <c r="G14" s="90" t="s">
        <v>167</v>
      </c>
      <c r="H14" s="90" t="s">
        <v>163</v>
      </c>
      <c r="I14" s="90" t="s">
        <v>124</v>
      </c>
      <c r="J14" s="90" t="s">
        <v>164</v>
      </c>
      <c r="K14" s="90" t="s">
        <v>165</v>
      </c>
      <c r="L14" s="90" t="s">
        <v>125</v>
      </c>
      <c r="M14" s="90" t="s">
        <v>125</v>
      </c>
      <c r="N14" s="92">
        <v>2000</v>
      </c>
      <c r="O14" s="90">
        <v>242</v>
      </c>
      <c r="P14" s="90">
        <v>429</v>
      </c>
      <c r="Q14" s="90">
        <v>34</v>
      </c>
      <c r="R14" s="90">
        <v>0</v>
      </c>
      <c r="S14" s="90" t="s">
        <v>125</v>
      </c>
      <c r="T14" s="92">
        <v>484463</v>
      </c>
      <c r="U14" s="90" t="s">
        <v>125</v>
      </c>
      <c r="V14" s="90">
        <v>0</v>
      </c>
      <c r="W14" s="90">
        <v>0</v>
      </c>
      <c r="X14" s="90">
        <v>0</v>
      </c>
      <c r="Y14" s="90">
        <v>0</v>
      </c>
      <c r="Z14" s="90">
        <v>0</v>
      </c>
      <c r="AA14" s="90">
        <v>0</v>
      </c>
      <c r="AB14" s="90">
        <v>0</v>
      </c>
      <c r="AC14" s="90">
        <v>0</v>
      </c>
      <c r="AD14" s="90">
        <v>0</v>
      </c>
      <c r="AE14" s="90">
        <v>0</v>
      </c>
    </row>
    <row r="15" spans="1:31" x14ac:dyDescent="0.2">
      <c r="A15">
        <v>2016</v>
      </c>
      <c r="B15">
        <v>2</v>
      </c>
      <c r="C15">
        <v>9</v>
      </c>
      <c r="D15" s="89">
        <v>42409</v>
      </c>
      <c r="E15" s="89">
        <v>42415</v>
      </c>
      <c r="F15" s="90">
        <v>1833</v>
      </c>
      <c r="G15" s="90" t="s">
        <v>131</v>
      </c>
      <c r="H15" s="90" t="s">
        <v>163</v>
      </c>
      <c r="I15" s="90" t="s">
        <v>124</v>
      </c>
      <c r="J15" s="90" t="s">
        <v>164</v>
      </c>
      <c r="K15" s="90" t="s">
        <v>165</v>
      </c>
      <c r="L15" s="90" t="s">
        <v>125</v>
      </c>
      <c r="M15" s="90" t="s">
        <v>125</v>
      </c>
      <c r="N15" s="92">
        <v>1000</v>
      </c>
      <c r="O15" s="90">
        <v>597</v>
      </c>
      <c r="P15" s="90">
        <v>858</v>
      </c>
      <c r="Q15" s="90">
        <v>68</v>
      </c>
      <c r="R15" s="90">
        <v>0</v>
      </c>
      <c r="S15" s="90" t="s">
        <v>125</v>
      </c>
      <c r="T15" s="92">
        <v>597926</v>
      </c>
      <c r="U15" s="90" t="s">
        <v>125</v>
      </c>
      <c r="V15" s="90">
        <v>0</v>
      </c>
      <c r="W15" s="90">
        <v>0</v>
      </c>
      <c r="X15" s="90">
        <v>0</v>
      </c>
      <c r="Y15" s="90">
        <v>0</v>
      </c>
      <c r="Z15" s="90">
        <v>0</v>
      </c>
      <c r="AA15" s="90">
        <v>0</v>
      </c>
      <c r="AB15" s="90">
        <v>0</v>
      </c>
      <c r="AC15" s="90">
        <v>0</v>
      </c>
      <c r="AD15" s="90">
        <v>0</v>
      </c>
      <c r="AE15" s="90">
        <v>0</v>
      </c>
    </row>
    <row r="16" spans="1:31" x14ac:dyDescent="0.2">
      <c r="A16">
        <v>2016</v>
      </c>
      <c r="B16">
        <v>2</v>
      </c>
      <c r="C16">
        <v>10</v>
      </c>
      <c r="D16" s="89">
        <v>42410</v>
      </c>
      <c r="E16" s="89">
        <v>42416</v>
      </c>
      <c r="F16" s="90">
        <v>1833</v>
      </c>
      <c r="G16" s="90" t="s">
        <v>131</v>
      </c>
      <c r="H16" s="90" t="s">
        <v>163</v>
      </c>
      <c r="I16" s="90" t="s">
        <v>124</v>
      </c>
      <c r="J16" s="90" t="s">
        <v>164</v>
      </c>
      <c r="K16" s="90" t="s">
        <v>126</v>
      </c>
      <c r="L16" s="90" t="s">
        <v>125</v>
      </c>
      <c r="M16" s="90" t="s">
        <v>125</v>
      </c>
      <c r="N16" s="92">
        <v>1000</v>
      </c>
      <c r="O16" s="90">
        <v>623</v>
      </c>
      <c r="P16" s="90">
        <v>858</v>
      </c>
      <c r="Q16" s="90">
        <v>68</v>
      </c>
      <c r="R16" s="90">
        <v>0</v>
      </c>
      <c r="S16" s="90" t="s">
        <v>166</v>
      </c>
      <c r="T16" s="92">
        <v>622074</v>
      </c>
      <c r="U16" s="90" t="s">
        <v>125</v>
      </c>
      <c r="V16" s="90">
        <v>0</v>
      </c>
      <c r="W16" s="90">
        <v>0</v>
      </c>
      <c r="X16" s="90">
        <v>0</v>
      </c>
      <c r="Y16" s="90">
        <v>0</v>
      </c>
      <c r="Z16" s="90">
        <v>0</v>
      </c>
      <c r="AA16" s="90">
        <v>0</v>
      </c>
      <c r="AB16" s="90">
        <v>0</v>
      </c>
      <c r="AC16" s="90">
        <v>0</v>
      </c>
      <c r="AD16" s="90">
        <v>0</v>
      </c>
      <c r="AE16" s="90">
        <v>0</v>
      </c>
    </row>
    <row r="17" spans="1:31" x14ac:dyDescent="0.2">
      <c r="A17">
        <v>2016</v>
      </c>
      <c r="B17">
        <v>2</v>
      </c>
      <c r="C17">
        <v>15</v>
      </c>
      <c r="D17" s="89">
        <v>42415</v>
      </c>
      <c r="E17" s="89">
        <v>42418</v>
      </c>
      <c r="F17" s="90">
        <v>9616</v>
      </c>
      <c r="G17" s="90" t="s">
        <v>123</v>
      </c>
      <c r="H17" s="90" t="s">
        <v>163</v>
      </c>
      <c r="I17" s="90" t="s">
        <v>124</v>
      </c>
      <c r="J17" s="90" t="s">
        <v>164</v>
      </c>
      <c r="K17" s="90" t="s">
        <v>165</v>
      </c>
      <c r="L17" s="90" t="s">
        <v>125</v>
      </c>
      <c r="M17" s="90" t="s">
        <v>125</v>
      </c>
      <c r="N17" s="90">
        <v>100</v>
      </c>
      <c r="O17" s="91">
        <v>7740</v>
      </c>
      <c r="P17" s="90">
        <v>858</v>
      </c>
      <c r="Q17" s="90">
        <v>68</v>
      </c>
      <c r="R17" s="90">
        <v>0</v>
      </c>
      <c r="S17" s="90" t="s">
        <v>125</v>
      </c>
      <c r="T17" s="92">
        <v>774926</v>
      </c>
      <c r="U17" s="90" t="s">
        <v>125</v>
      </c>
      <c r="V17" s="90">
        <v>0</v>
      </c>
      <c r="W17" s="90">
        <v>0</v>
      </c>
      <c r="X17" s="90">
        <v>0</v>
      </c>
      <c r="Y17" s="90">
        <v>0</v>
      </c>
      <c r="Z17" s="90">
        <v>0</v>
      </c>
      <c r="AA17" s="90">
        <v>0</v>
      </c>
      <c r="AB17" s="90">
        <v>0</v>
      </c>
      <c r="AC17" s="90">
        <v>0</v>
      </c>
      <c r="AD17" s="90">
        <v>0</v>
      </c>
      <c r="AE17" s="90">
        <v>0</v>
      </c>
    </row>
    <row r="18" spans="1:31" x14ac:dyDescent="0.2">
      <c r="A18">
        <v>2016</v>
      </c>
      <c r="B18">
        <v>2</v>
      </c>
      <c r="C18">
        <v>15</v>
      </c>
      <c r="D18" s="89">
        <v>42415</v>
      </c>
      <c r="E18" s="89">
        <v>42418</v>
      </c>
      <c r="F18" s="90">
        <v>9616</v>
      </c>
      <c r="G18" s="90" t="s">
        <v>123</v>
      </c>
      <c r="H18" s="90" t="s">
        <v>163</v>
      </c>
      <c r="I18" s="90" t="s">
        <v>124</v>
      </c>
      <c r="J18" s="90" t="s">
        <v>164</v>
      </c>
      <c r="K18" s="90" t="s">
        <v>126</v>
      </c>
      <c r="L18" s="90" t="s">
        <v>125</v>
      </c>
      <c r="M18" s="90" t="s">
        <v>125</v>
      </c>
      <c r="N18" s="90">
        <v>100</v>
      </c>
      <c r="O18" s="91">
        <v>7900</v>
      </c>
      <c r="P18" s="90">
        <v>0</v>
      </c>
      <c r="Q18" s="90">
        <v>0</v>
      </c>
      <c r="R18" s="90">
        <v>0</v>
      </c>
      <c r="S18" s="90" t="s">
        <v>166</v>
      </c>
      <c r="T18" s="92">
        <v>790000</v>
      </c>
      <c r="U18" s="90" t="s">
        <v>125</v>
      </c>
      <c r="V18" s="90">
        <v>0</v>
      </c>
      <c r="W18" s="90">
        <v>0</v>
      </c>
      <c r="X18" s="90">
        <v>0</v>
      </c>
      <c r="Y18" s="90">
        <v>0</v>
      </c>
      <c r="Z18" s="90">
        <v>0</v>
      </c>
      <c r="AA18" s="90">
        <v>0</v>
      </c>
      <c r="AB18" s="90">
        <v>0</v>
      </c>
      <c r="AC18" s="90">
        <v>0</v>
      </c>
      <c r="AD18" s="90">
        <v>0</v>
      </c>
      <c r="AE18" s="90">
        <v>0</v>
      </c>
    </row>
    <row r="19" spans="1:31" x14ac:dyDescent="0.2">
      <c r="A19">
        <v>2016</v>
      </c>
      <c r="B19">
        <v>2</v>
      </c>
      <c r="C19">
        <v>16</v>
      </c>
      <c r="D19" s="89">
        <v>42416</v>
      </c>
      <c r="E19" s="89">
        <v>42419</v>
      </c>
      <c r="F19" s="90">
        <v>6752</v>
      </c>
      <c r="G19" s="90" t="s">
        <v>132</v>
      </c>
      <c r="H19" s="90" t="s">
        <v>163</v>
      </c>
      <c r="I19" s="90" t="s">
        <v>124</v>
      </c>
      <c r="J19" s="90" t="s">
        <v>164</v>
      </c>
      <c r="K19" s="90" t="s">
        <v>165</v>
      </c>
      <c r="L19" s="90" t="s">
        <v>125</v>
      </c>
      <c r="M19" s="90" t="s">
        <v>125</v>
      </c>
      <c r="N19" s="90">
        <v>400</v>
      </c>
      <c r="O19" s="90">
        <v>900</v>
      </c>
      <c r="P19" s="90">
        <v>429</v>
      </c>
      <c r="Q19" s="90">
        <v>34</v>
      </c>
      <c r="R19" s="90">
        <v>0</v>
      </c>
      <c r="S19" s="90" t="s">
        <v>125</v>
      </c>
      <c r="T19" s="92">
        <v>360463</v>
      </c>
      <c r="U19" s="90" t="s">
        <v>125</v>
      </c>
      <c r="V19" s="90">
        <v>0</v>
      </c>
      <c r="W19" s="90">
        <v>0</v>
      </c>
      <c r="X19" s="90">
        <v>0</v>
      </c>
      <c r="Y19" s="90">
        <v>0</v>
      </c>
      <c r="Z19" s="90">
        <v>0</v>
      </c>
      <c r="AA19" s="90">
        <v>0</v>
      </c>
      <c r="AB19" s="90">
        <v>0</v>
      </c>
      <c r="AC19" s="90">
        <v>0</v>
      </c>
      <c r="AD19" s="90">
        <v>0</v>
      </c>
      <c r="AE19" s="90">
        <v>0</v>
      </c>
    </row>
    <row r="20" spans="1:31" x14ac:dyDescent="0.2">
      <c r="A20">
        <v>2016</v>
      </c>
      <c r="B20">
        <v>2</v>
      </c>
      <c r="C20">
        <v>16</v>
      </c>
      <c r="D20" s="89">
        <v>42416</v>
      </c>
      <c r="E20" s="89">
        <v>42419</v>
      </c>
      <c r="F20" s="90">
        <v>6752</v>
      </c>
      <c r="G20" s="90" t="s">
        <v>132</v>
      </c>
      <c r="H20" s="90" t="s">
        <v>163</v>
      </c>
      <c r="I20" s="90" t="s">
        <v>124</v>
      </c>
      <c r="J20" s="90" t="s">
        <v>164</v>
      </c>
      <c r="K20" s="90" t="s">
        <v>126</v>
      </c>
      <c r="L20" s="90" t="s">
        <v>125</v>
      </c>
      <c r="M20" s="90" t="s">
        <v>125</v>
      </c>
      <c r="N20" s="90">
        <v>400</v>
      </c>
      <c r="O20" s="90">
        <v>906</v>
      </c>
      <c r="P20" s="90">
        <v>0</v>
      </c>
      <c r="Q20" s="90">
        <v>0</v>
      </c>
      <c r="R20" s="90">
        <v>0</v>
      </c>
      <c r="S20" s="90" t="s">
        <v>166</v>
      </c>
      <c r="T20" s="92">
        <v>362400</v>
      </c>
      <c r="U20" s="90" t="s">
        <v>125</v>
      </c>
      <c r="V20" s="90">
        <v>0</v>
      </c>
      <c r="W20" s="90">
        <v>0</v>
      </c>
      <c r="X20" s="90">
        <v>0</v>
      </c>
      <c r="Y20" s="90">
        <v>0</v>
      </c>
      <c r="Z20" s="90">
        <v>0</v>
      </c>
      <c r="AA20" s="90">
        <v>0</v>
      </c>
      <c r="AB20" s="90">
        <v>0</v>
      </c>
      <c r="AC20" s="90">
        <v>0</v>
      </c>
      <c r="AD20" s="90">
        <v>0</v>
      </c>
      <c r="AE20" s="90">
        <v>0</v>
      </c>
    </row>
    <row r="21" spans="1:31" x14ac:dyDescent="0.2">
      <c r="A21">
        <v>2016</v>
      </c>
      <c r="B21">
        <v>2</v>
      </c>
      <c r="C21">
        <v>17</v>
      </c>
      <c r="D21" s="89">
        <v>42417</v>
      </c>
      <c r="E21" s="89">
        <v>42422</v>
      </c>
      <c r="F21" s="90">
        <v>8379</v>
      </c>
      <c r="G21" s="90" t="s">
        <v>133</v>
      </c>
      <c r="H21" s="90" t="s">
        <v>163</v>
      </c>
      <c r="I21" s="90" t="s">
        <v>124</v>
      </c>
      <c r="J21" s="90" t="s">
        <v>164</v>
      </c>
      <c r="K21" s="90" t="s">
        <v>165</v>
      </c>
      <c r="L21" s="90" t="s">
        <v>125</v>
      </c>
      <c r="M21" s="90" t="s">
        <v>125</v>
      </c>
      <c r="N21" s="92">
        <v>2000</v>
      </c>
      <c r="O21" s="90">
        <v>425</v>
      </c>
      <c r="P21" s="90">
        <v>858</v>
      </c>
      <c r="Q21" s="90">
        <v>68</v>
      </c>
      <c r="R21" s="90">
        <v>0</v>
      </c>
      <c r="S21" s="90" t="s">
        <v>125</v>
      </c>
      <c r="T21" s="92">
        <v>850926</v>
      </c>
      <c r="U21" s="90" t="s">
        <v>125</v>
      </c>
      <c r="V21" s="90">
        <v>0</v>
      </c>
      <c r="W21" s="90">
        <v>0</v>
      </c>
      <c r="X21" s="90">
        <v>0</v>
      </c>
      <c r="Y21" s="90">
        <v>0</v>
      </c>
      <c r="Z21" s="90">
        <v>0</v>
      </c>
      <c r="AA21" s="90">
        <v>0</v>
      </c>
      <c r="AB21" s="90">
        <v>0</v>
      </c>
      <c r="AC21" s="90">
        <v>0</v>
      </c>
      <c r="AD21" s="90">
        <v>0</v>
      </c>
      <c r="AE21" s="90">
        <v>0</v>
      </c>
    </row>
    <row r="22" spans="1:31" x14ac:dyDescent="0.2">
      <c r="A22">
        <v>2016</v>
      </c>
      <c r="B22">
        <v>2</v>
      </c>
      <c r="C22">
        <v>18</v>
      </c>
      <c r="D22" s="89">
        <v>42418</v>
      </c>
      <c r="E22" s="89">
        <v>42423</v>
      </c>
      <c r="F22" s="90">
        <v>6184</v>
      </c>
      <c r="G22" s="90" t="s">
        <v>134</v>
      </c>
      <c r="H22" s="90" t="s">
        <v>163</v>
      </c>
      <c r="I22" s="90" t="s">
        <v>124</v>
      </c>
      <c r="J22" s="90" t="s">
        <v>164</v>
      </c>
      <c r="K22" s="90" t="s">
        <v>165</v>
      </c>
      <c r="L22" s="90" t="s">
        <v>125</v>
      </c>
      <c r="M22" s="90" t="s">
        <v>125</v>
      </c>
      <c r="N22" s="90">
        <v>100</v>
      </c>
      <c r="O22" s="91">
        <v>2024</v>
      </c>
      <c r="P22" s="90">
        <v>380</v>
      </c>
      <c r="Q22" s="90">
        <v>32</v>
      </c>
      <c r="R22" s="90">
        <v>0</v>
      </c>
      <c r="S22" s="90" t="s">
        <v>125</v>
      </c>
      <c r="T22" s="92">
        <v>202812</v>
      </c>
      <c r="U22" s="90" t="s">
        <v>125</v>
      </c>
      <c r="V22" s="90">
        <v>0</v>
      </c>
      <c r="W22" s="90">
        <v>0</v>
      </c>
      <c r="X22" s="90">
        <v>0</v>
      </c>
      <c r="Y22" s="90">
        <v>0</v>
      </c>
      <c r="Z22" s="90">
        <v>0</v>
      </c>
      <c r="AA22" s="90">
        <v>0</v>
      </c>
      <c r="AB22" s="90">
        <v>0</v>
      </c>
      <c r="AC22" s="90">
        <v>0</v>
      </c>
      <c r="AD22" s="90">
        <v>0</v>
      </c>
      <c r="AE22" s="90">
        <v>0</v>
      </c>
    </row>
    <row r="23" spans="1:31" x14ac:dyDescent="0.2">
      <c r="A23">
        <v>2016</v>
      </c>
      <c r="B23">
        <v>2</v>
      </c>
      <c r="C23">
        <v>18</v>
      </c>
      <c r="D23" s="89">
        <v>42418</v>
      </c>
      <c r="E23" s="89">
        <v>42423</v>
      </c>
      <c r="F23" s="90">
        <v>8379</v>
      </c>
      <c r="G23" s="90" t="s">
        <v>133</v>
      </c>
      <c r="H23" s="90" t="s">
        <v>163</v>
      </c>
      <c r="I23" s="90" t="s">
        <v>124</v>
      </c>
      <c r="J23" s="90" t="s">
        <v>164</v>
      </c>
      <c r="K23" s="90" t="s">
        <v>126</v>
      </c>
      <c r="L23" s="90" t="s">
        <v>125</v>
      </c>
      <c r="M23" s="90" t="s">
        <v>125</v>
      </c>
      <c r="N23" s="92">
        <v>2000</v>
      </c>
      <c r="O23" s="90">
        <v>433</v>
      </c>
      <c r="P23" s="92">
        <v>1620</v>
      </c>
      <c r="Q23" s="90">
        <v>128</v>
      </c>
      <c r="R23" s="90">
        <v>0</v>
      </c>
      <c r="S23" s="90" t="s">
        <v>166</v>
      </c>
      <c r="T23" s="92">
        <v>864252</v>
      </c>
      <c r="U23" s="90" t="s">
        <v>125</v>
      </c>
      <c r="V23" s="90">
        <v>0</v>
      </c>
      <c r="W23" s="90">
        <v>0</v>
      </c>
      <c r="X23" s="90">
        <v>0</v>
      </c>
      <c r="Y23" s="90">
        <v>0</v>
      </c>
      <c r="Z23" s="90">
        <v>0</v>
      </c>
      <c r="AA23" s="90">
        <v>0</v>
      </c>
      <c r="AB23" s="90">
        <v>0</v>
      </c>
      <c r="AC23" s="90">
        <v>0</v>
      </c>
      <c r="AD23" s="90">
        <v>0</v>
      </c>
      <c r="AE23" s="90">
        <v>0</v>
      </c>
    </row>
    <row r="24" spans="1:31" x14ac:dyDescent="0.2">
      <c r="A24">
        <v>2016</v>
      </c>
      <c r="B24">
        <v>2</v>
      </c>
      <c r="C24">
        <v>19</v>
      </c>
      <c r="D24" s="89">
        <v>42419</v>
      </c>
      <c r="E24" s="89">
        <v>42424</v>
      </c>
      <c r="F24" s="90">
        <v>6184</v>
      </c>
      <c r="G24" s="90" t="s">
        <v>134</v>
      </c>
      <c r="H24" s="90" t="s">
        <v>163</v>
      </c>
      <c r="I24" s="90" t="s">
        <v>124</v>
      </c>
      <c r="J24" s="90" t="s">
        <v>164</v>
      </c>
      <c r="K24" s="90" t="s">
        <v>126</v>
      </c>
      <c r="L24" s="90" t="s">
        <v>125</v>
      </c>
      <c r="M24" s="90" t="s">
        <v>125</v>
      </c>
      <c r="N24" s="90">
        <v>100</v>
      </c>
      <c r="O24" s="91">
        <v>2040</v>
      </c>
      <c r="P24" s="90">
        <v>246</v>
      </c>
      <c r="Q24" s="90">
        <v>19</v>
      </c>
      <c r="R24" s="90">
        <v>0</v>
      </c>
      <c r="S24" s="90" t="s">
        <v>166</v>
      </c>
      <c r="T24" s="92">
        <v>203735</v>
      </c>
      <c r="U24" s="90" t="s">
        <v>125</v>
      </c>
      <c r="V24" s="90">
        <v>0</v>
      </c>
      <c r="W24" s="90">
        <v>0</v>
      </c>
      <c r="X24" s="90">
        <v>0</v>
      </c>
      <c r="Y24" s="90">
        <v>0</v>
      </c>
      <c r="Z24" s="90">
        <v>0</v>
      </c>
      <c r="AA24" s="90">
        <v>0</v>
      </c>
      <c r="AB24" s="90">
        <v>0</v>
      </c>
      <c r="AC24" s="90">
        <v>0</v>
      </c>
      <c r="AD24" s="90">
        <v>0</v>
      </c>
      <c r="AE24" s="90">
        <v>0</v>
      </c>
    </row>
    <row r="25" spans="1:31" x14ac:dyDescent="0.2">
      <c r="A25">
        <v>2016</v>
      </c>
      <c r="B25">
        <v>2</v>
      </c>
      <c r="C25">
        <v>19</v>
      </c>
      <c r="D25" s="89">
        <v>42419</v>
      </c>
      <c r="E25" s="89">
        <v>42424</v>
      </c>
      <c r="F25" s="90">
        <v>9722</v>
      </c>
      <c r="G25" s="90" t="s">
        <v>135</v>
      </c>
      <c r="H25" s="90" t="s">
        <v>163</v>
      </c>
      <c r="I25" s="90" t="s">
        <v>124</v>
      </c>
      <c r="J25" s="90" t="s">
        <v>164</v>
      </c>
      <c r="K25" s="90" t="s">
        <v>165</v>
      </c>
      <c r="L25" s="90" t="s">
        <v>125</v>
      </c>
      <c r="M25" s="90" t="s">
        <v>125</v>
      </c>
      <c r="N25" s="92">
        <v>1000</v>
      </c>
      <c r="O25" s="90">
        <v>507</v>
      </c>
      <c r="P25" s="90">
        <v>612</v>
      </c>
      <c r="Q25" s="90">
        <v>49</v>
      </c>
      <c r="R25" s="90">
        <v>0</v>
      </c>
      <c r="S25" s="90" t="s">
        <v>125</v>
      </c>
      <c r="T25" s="92">
        <v>507661</v>
      </c>
      <c r="U25" s="90" t="s">
        <v>125</v>
      </c>
      <c r="V25" s="90">
        <v>0</v>
      </c>
      <c r="W25" s="90">
        <v>0</v>
      </c>
      <c r="X25" s="90">
        <v>0</v>
      </c>
      <c r="Y25" s="90">
        <v>0</v>
      </c>
      <c r="Z25" s="90">
        <v>0</v>
      </c>
      <c r="AA25" s="90">
        <v>0</v>
      </c>
      <c r="AB25" s="90">
        <v>0</v>
      </c>
      <c r="AC25" s="90">
        <v>0</v>
      </c>
      <c r="AD25" s="90">
        <v>0</v>
      </c>
      <c r="AE25" s="90">
        <v>0</v>
      </c>
    </row>
    <row r="26" spans="1:31" x14ac:dyDescent="0.2">
      <c r="A26">
        <v>2016</v>
      </c>
      <c r="B26">
        <v>2</v>
      </c>
      <c r="C26">
        <v>22</v>
      </c>
      <c r="D26" s="89">
        <v>42422</v>
      </c>
      <c r="E26" s="89">
        <v>42425</v>
      </c>
      <c r="F26" s="90">
        <v>9616</v>
      </c>
      <c r="G26" s="90" t="s">
        <v>123</v>
      </c>
      <c r="H26" s="90" t="s">
        <v>163</v>
      </c>
      <c r="I26" s="90" t="s">
        <v>124</v>
      </c>
      <c r="J26" s="90" t="s">
        <v>164</v>
      </c>
      <c r="K26" s="90" t="s">
        <v>165</v>
      </c>
      <c r="L26" s="90" t="s">
        <v>125</v>
      </c>
      <c r="M26" s="90" t="s">
        <v>125</v>
      </c>
      <c r="N26" s="90">
        <v>100</v>
      </c>
      <c r="O26" s="91">
        <v>8470</v>
      </c>
      <c r="P26" s="92">
        <v>1240</v>
      </c>
      <c r="Q26" s="90">
        <v>100</v>
      </c>
      <c r="R26" s="90">
        <v>0</v>
      </c>
      <c r="S26" s="90" t="s">
        <v>125</v>
      </c>
      <c r="T26" s="92">
        <v>848340</v>
      </c>
      <c r="U26" s="90" t="s">
        <v>125</v>
      </c>
      <c r="V26" s="90">
        <v>0</v>
      </c>
      <c r="W26" s="90">
        <v>0</v>
      </c>
      <c r="X26" s="90">
        <v>0</v>
      </c>
      <c r="Y26" s="90">
        <v>0</v>
      </c>
      <c r="Z26" s="90">
        <v>0</v>
      </c>
      <c r="AA26" s="90">
        <v>0</v>
      </c>
      <c r="AB26" s="90">
        <v>0</v>
      </c>
      <c r="AC26" s="90">
        <v>0</v>
      </c>
      <c r="AD26" s="90">
        <v>0</v>
      </c>
      <c r="AE26" s="90">
        <v>0</v>
      </c>
    </row>
    <row r="27" spans="1:31" x14ac:dyDescent="0.2">
      <c r="A27">
        <v>2016</v>
      </c>
      <c r="B27">
        <v>2</v>
      </c>
      <c r="C27">
        <v>22</v>
      </c>
      <c r="D27" s="89">
        <v>42422</v>
      </c>
      <c r="E27" s="89">
        <v>42425</v>
      </c>
      <c r="F27" s="90">
        <v>9616</v>
      </c>
      <c r="G27" s="90" t="s">
        <v>123</v>
      </c>
      <c r="H27" s="90" t="s">
        <v>163</v>
      </c>
      <c r="I27" s="90" t="s">
        <v>124</v>
      </c>
      <c r="J27" s="90" t="s">
        <v>164</v>
      </c>
      <c r="K27" s="90" t="s">
        <v>126</v>
      </c>
      <c r="L27" s="90" t="s">
        <v>125</v>
      </c>
      <c r="M27" s="90" t="s">
        <v>125</v>
      </c>
      <c r="N27" s="90">
        <v>100</v>
      </c>
      <c r="O27" s="91">
        <v>8580</v>
      </c>
      <c r="P27" s="90">
        <v>0</v>
      </c>
      <c r="Q27" s="90">
        <v>0</v>
      </c>
      <c r="R27" s="90">
        <v>0</v>
      </c>
      <c r="S27" s="90" t="s">
        <v>166</v>
      </c>
      <c r="T27" s="92">
        <v>858000</v>
      </c>
      <c r="U27" s="90" t="s">
        <v>125</v>
      </c>
      <c r="V27" s="90">
        <v>0</v>
      </c>
      <c r="W27" s="90">
        <v>0</v>
      </c>
      <c r="X27" s="90">
        <v>0</v>
      </c>
      <c r="Y27" s="90">
        <v>0</v>
      </c>
      <c r="Z27" s="90">
        <v>0</v>
      </c>
      <c r="AA27" s="90">
        <v>0</v>
      </c>
      <c r="AB27" s="90">
        <v>0</v>
      </c>
      <c r="AC27" s="90">
        <v>0</v>
      </c>
      <c r="AD27" s="90">
        <v>0</v>
      </c>
      <c r="AE27" s="90">
        <v>0</v>
      </c>
    </row>
    <row r="28" spans="1:31" x14ac:dyDescent="0.2">
      <c r="A28">
        <v>2016</v>
      </c>
      <c r="B28">
        <v>2</v>
      </c>
      <c r="C28">
        <v>22</v>
      </c>
      <c r="D28" s="89">
        <v>42422</v>
      </c>
      <c r="E28" s="89">
        <v>42425</v>
      </c>
      <c r="F28" s="90">
        <v>9722</v>
      </c>
      <c r="G28" s="90" t="s">
        <v>135</v>
      </c>
      <c r="H28" s="90" t="s">
        <v>163</v>
      </c>
      <c r="I28" s="90" t="s">
        <v>124</v>
      </c>
      <c r="J28" s="90" t="s">
        <v>164</v>
      </c>
      <c r="K28" s="90" t="s">
        <v>126</v>
      </c>
      <c r="L28" s="90" t="s">
        <v>125</v>
      </c>
      <c r="M28" s="90" t="s">
        <v>125</v>
      </c>
      <c r="N28" s="92">
        <v>1000</v>
      </c>
      <c r="O28" s="90">
        <v>520</v>
      </c>
      <c r="P28" s="90">
        <v>760</v>
      </c>
      <c r="Q28" s="90">
        <v>60</v>
      </c>
      <c r="R28" s="90">
        <v>0</v>
      </c>
      <c r="S28" s="90" t="s">
        <v>166</v>
      </c>
      <c r="T28" s="92">
        <v>519180</v>
      </c>
      <c r="U28" s="90" t="s">
        <v>125</v>
      </c>
      <c r="V28" s="90">
        <v>0</v>
      </c>
      <c r="W28" s="90">
        <v>0</v>
      </c>
      <c r="X28" s="90">
        <v>0</v>
      </c>
      <c r="Y28" s="90">
        <v>0</v>
      </c>
      <c r="Z28" s="90">
        <v>0</v>
      </c>
      <c r="AA28" s="90">
        <v>0</v>
      </c>
      <c r="AB28" s="90">
        <v>0</v>
      </c>
      <c r="AC28" s="90">
        <v>0</v>
      </c>
      <c r="AD28" s="90">
        <v>0</v>
      </c>
      <c r="AE28" s="90">
        <v>0</v>
      </c>
    </row>
    <row r="29" spans="1:31" x14ac:dyDescent="0.2">
      <c r="A29">
        <v>2016</v>
      </c>
      <c r="B29">
        <v>2</v>
      </c>
      <c r="C29">
        <v>23</v>
      </c>
      <c r="D29" s="89">
        <v>42423</v>
      </c>
      <c r="E29" s="89">
        <v>42426</v>
      </c>
      <c r="F29" s="90">
        <v>5401</v>
      </c>
      <c r="G29" s="90" t="s">
        <v>136</v>
      </c>
      <c r="H29" s="90" t="s">
        <v>163</v>
      </c>
      <c r="I29" s="90" t="s">
        <v>124</v>
      </c>
      <c r="J29" s="90" t="s">
        <v>164</v>
      </c>
      <c r="K29" s="90" t="s">
        <v>165</v>
      </c>
      <c r="L29" s="90" t="s">
        <v>125</v>
      </c>
      <c r="M29" s="90" t="s">
        <v>125</v>
      </c>
      <c r="N29" s="90">
        <v>100</v>
      </c>
      <c r="O29" s="91">
        <v>1959</v>
      </c>
      <c r="P29" s="90">
        <v>192</v>
      </c>
      <c r="Q29" s="90">
        <v>16</v>
      </c>
      <c r="R29" s="90">
        <v>0</v>
      </c>
      <c r="S29" s="90" t="s">
        <v>125</v>
      </c>
      <c r="T29" s="92">
        <v>196108</v>
      </c>
      <c r="U29" s="90" t="s">
        <v>125</v>
      </c>
      <c r="V29" s="90">
        <v>0</v>
      </c>
      <c r="W29" s="90">
        <v>0</v>
      </c>
      <c r="X29" s="90">
        <v>0</v>
      </c>
      <c r="Y29" s="90">
        <v>0</v>
      </c>
      <c r="Z29" s="90">
        <v>0</v>
      </c>
      <c r="AA29" s="90">
        <v>0</v>
      </c>
      <c r="AB29" s="90">
        <v>0</v>
      </c>
      <c r="AC29" s="90">
        <v>0</v>
      </c>
      <c r="AD29" s="90">
        <v>0</v>
      </c>
      <c r="AE29" s="90">
        <v>0</v>
      </c>
    </row>
    <row r="30" spans="1:31" x14ac:dyDescent="0.2">
      <c r="A30">
        <v>2016</v>
      </c>
      <c r="B30">
        <v>2</v>
      </c>
      <c r="C30">
        <v>23</v>
      </c>
      <c r="D30" s="89">
        <v>42423</v>
      </c>
      <c r="E30" s="89">
        <v>42426</v>
      </c>
      <c r="F30" s="90">
        <v>9064</v>
      </c>
      <c r="G30" s="90" t="s">
        <v>168</v>
      </c>
      <c r="H30" s="90" t="s">
        <v>163</v>
      </c>
      <c r="I30" s="90" t="s">
        <v>124</v>
      </c>
      <c r="J30" s="90" t="s">
        <v>164</v>
      </c>
      <c r="K30" s="90" t="s">
        <v>165</v>
      </c>
      <c r="L30" s="90" t="s">
        <v>125</v>
      </c>
      <c r="M30" s="90" t="s">
        <v>125</v>
      </c>
      <c r="N30" s="90">
        <v>100</v>
      </c>
      <c r="O30" s="91">
        <v>2428</v>
      </c>
      <c r="P30" s="90">
        <v>237</v>
      </c>
      <c r="Q30" s="90">
        <v>18</v>
      </c>
      <c r="R30" s="90">
        <v>0</v>
      </c>
      <c r="S30" s="90" t="s">
        <v>125</v>
      </c>
      <c r="T30" s="92">
        <v>243055</v>
      </c>
      <c r="U30" s="90" t="s">
        <v>125</v>
      </c>
      <c r="V30" s="90">
        <v>0</v>
      </c>
      <c r="W30" s="90">
        <v>0</v>
      </c>
      <c r="X30" s="90">
        <v>0</v>
      </c>
      <c r="Y30" s="90">
        <v>0</v>
      </c>
      <c r="Z30" s="90">
        <v>0</v>
      </c>
      <c r="AA30" s="90">
        <v>0</v>
      </c>
      <c r="AB30" s="90">
        <v>0</v>
      </c>
      <c r="AC30" s="90">
        <v>0</v>
      </c>
      <c r="AD30" s="90">
        <v>0</v>
      </c>
      <c r="AE30" s="90">
        <v>0</v>
      </c>
    </row>
    <row r="31" spans="1:31" x14ac:dyDescent="0.2">
      <c r="A31">
        <v>2016</v>
      </c>
      <c r="B31">
        <v>2</v>
      </c>
      <c r="C31">
        <v>24</v>
      </c>
      <c r="D31" s="89">
        <v>42424</v>
      </c>
      <c r="E31" s="89">
        <v>42429</v>
      </c>
      <c r="F31" s="90">
        <v>9722</v>
      </c>
      <c r="G31" s="90" t="s">
        <v>135</v>
      </c>
      <c r="H31" s="90" t="s">
        <v>163</v>
      </c>
      <c r="I31" s="90" t="s">
        <v>124</v>
      </c>
      <c r="J31" s="90" t="s">
        <v>164</v>
      </c>
      <c r="K31" s="90" t="s">
        <v>165</v>
      </c>
      <c r="L31" s="90" t="s">
        <v>125</v>
      </c>
      <c r="M31" s="90" t="s">
        <v>125</v>
      </c>
      <c r="N31" s="92">
        <v>1000</v>
      </c>
      <c r="O31" s="90">
        <v>558</v>
      </c>
      <c r="P31" s="90">
        <v>858</v>
      </c>
      <c r="Q31" s="90">
        <v>68</v>
      </c>
      <c r="R31" s="90">
        <v>0</v>
      </c>
      <c r="S31" s="90" t="s">
        <v>125</v>
      </c>
      <c r="T31" s="92">
        <v>558926</v>
      </c>
      <c r="U31" s="90" t="s">
        <v>125</v>
      </c>
      <c r="V31" s="90">
        <v>0</v>
      </c>
      <c r="W31" s="90">
        <v>0</v>
      </c>
      <c r="X31" s="90">
        <v>0</v>
      </c>
      <c r="Y31" s="90">
        <v>0</v>
      </c>
      <c r="Z31" s="90">
        <v>0</v>
      </c>
      <c r="AA31" s="90">
        <v>0</v>
      </c>
      <c r="AB31" s="90">
        <v>0</v>
      </c>
      <c r="AC31" s="90">
        <v>0</v>
      </c>
      <c r="AD31" s="90">
        <v>0</v>
      </c>
      <c r="AE31" s="90">
        <v>0</v>
      </c>
    </row>
    <row r="32" spans="1:31" x14ac:dyDescent="0.2">
      <c r="A32">
        <v>2016</v>
      </c>
      <c r="B32">
        <v>2</v>
      </c>
      <c r="C32">
        <v>25</v>
      </c>
      <c r="D32" s="89">
        <v>42425</v>
      </c>
      <c r="E32" s="89">
        <v>42430</v>
      </c>
      <c r="F32" s="90">
        <v>5401</v>
      </c>
      <c r="G32" s="90" t="s">
        <v>136</v>
      </c>
      <c r="H32" s="90" t="s">
        <v>163</v>
      </c>
      <c r="I32" s="90" t="s">
        <v>124</v>
      </c>
      <c r="J32" s="90" t="s">
        <v>164</v>
      </c>
      <c r="K32" s="90" t="s">
        <v>126</v>
      </c>
      <c r="L32" s="90" t="s">
        <v>125</v>
      </c>
      <c r="M32" s="90" t="s">
        <v>125</v>
      </c>
      <c r="N32" s="90">
        <v>100</v>
      </c>
      <c r="O32" s="91">
        <v>1980</v>
      </c>
      <c r="P32" s="90">
        <v>310</v>
      </c>
      <c r="Q32" s="90">
        <v>24</v>
      </c>
      <c r="R32" s="90">
        <v>0</v>
      </c>
      <c r="S32" s="90" t="s">
        <v>166</v>
      </c>
      <c r="T32" s="92">
        <v>197666</v>
      </c>
      <c r="U32" s="90" t="s">
        <v>125</v>
      </c>
      <c r="V32" s="90">
        <v>0</v>
      </c>
      <c r="W32" s="90">
        <v>0</v>
      </c>
      <c r="X32" s="90">
        <v>0</v>
      </c>
      <c r="Y32" s="90">
        <v>0</v>
      </c>
      <c r="Z32" s="90">
        <v>0</v>
      </c>
      <c r="AA32" s="90">
        <v>0</v>
      </c>
      <c r="AB32" s="90">
        <v>0</v>
      </c>
      <c r="AC32" s="90">
        <v>0</v>
      </c>
      <c r="AD32" s="90">
        <v>0</v>
      </c>
      <c r="AE32" s="90">
        <v>0</v>
      </c>
    </row>
    <row r="33" spans="1:31" x14ac:dyDescent="0.2">
      <c r="A33">
        <v>2016</v>
      </c>
      <c r="B33">
        <v>2</v>
      </c>
      <c r="C33">
        <v>25</v>
      </c>
      <c r="D33" s="89">
        <v>42425</v>
      </c>
      <c r="E33" s="89">
        <v>42430</v>
      </c>
      <c r="F33" s="90">
        <v>9627</v>
      </c>
      <c r="G33" s="90" t="s">
        <v>137</v>
      </c>
      <c r="H33" s="90" t="s">
        <v>163</v>
      </c>
      <c r="I33" s="90" t="s">
        <v>124</v>
      </c>
      <c r="J33" s="90" t="s">
        <v>164</v>
      </c>
      <c r="K33" s="90" t="s">
        <v>165</v>
      </c>
      <c r="L33" s="90" t="s">
        <v>125</v>
      </c>
      <c r="M33" s="90" t="s">
        <v>125</v>
      </c>
      <c r="N33" s="90">
        <v>100</v>
      </c>
      <c r="O33" s="91">
        <v>5100</v>
      </c>
      <c r="P33" s="90">
        <v>799</v>
      </c>
      <c r="Q33" s="90">
        <v>65</v>
      </c>
      <c r="R33" s="90">
        <v>0</v>
      </c>
      <c r="S33" s="90" t="s">
        <v>125</v>
      </c>
      <c r="T33" s="92">
        <v>510864</v>
      </c>
      <c r="U33" s="90" t="s">
        <v>125</v>
      </c>
      <c r="V33" s="90">
        <v>0</v>
      </c>
      <c r="W33" s="90">
        <v>0</v>
      </c>
      <c r="X33" s="90">
        <v>0</v>
      </c>
      <c r="Y33" s="90">
        <v>0</v>
      </c>
      <c r="Z33" s="90">
        <v>0</v>
      </c>
      <c r="AA33" s="90">
        <v>0</v>
      </c>
      <c r="AB33" s="90">
        <v>0</v>
      </c>
      <c r="AC33" s="90">
        <v>0</v>
      </c>
      <c r="AD33" s="90">
        <v>0</v>
      </c>
      <c r="AE33" s="90">
        <v>0</v>
      </c>
    </row>
    <row r="34" spans="1:31" x14ac:dyDescent="0.2">
      <c r="A34">
        <v>2016</v>
      </c>
      <c r="B34">
        <v>2</v>
      </c>
      <c r="C34">
        <v>25</v>
      </c>
      <c r="D34" s="89">
        <v>42425</v>
      </c>
      <c r="E34" s="89">
        <v>42430</v>
      </c>
      <c r="F34" s="90">
        <v>9627</v>
      </c>
      <c r="G34" s="90" t="s">
        <v>137</v>
      </c>
      <c r="H34" s="90" t="s">
        <v>163</v>
      </c>
      <c r="I34" s="90" t="s">
        <v>124</v>
      </c>
      <c r="J34" s="90" t="s">
        <v>164</v>
      </c>
      <c r="K34" s="90" t="s">
        <v>126</v>
      </c>
      <c r="L34" s="90" t="s">
        <v>125</v>
      </c>
      <c r="M34" s="90" t="s">
        <v>125</v>
      </c>
      <c r="N34" s="90">
        <v>100</v>
      </c>
      <c r="O34" s="91">
        <v>5120</v>
      </c>
      <c r="P34" s="90">
        <v>0</v>
      </c>
      <c r="Q34" s="90">
        <v>0</v>
      </c>
      <c r="R34" s="90">
        <v>0</v>
      </c>
      <c r="S34" s="90" t="s">
        <v>166</v>
      </c>
      <c r="T34" s="92">
        <v>512000</v>
      </c>
      <c r="U34" s="90" t="s">
        <v>125</v>
      </c>
      <c r="V34" s="90">
        <v>0</v>
      </c>
      <c r="W34" s="90">
        <v>0</v>
      </c>
      <c r="X34" s="90">
        <v>0</v>
      </c>
      <c r="Y34" s="90">
        <v>0</v>
      </c>
      <c r="Z34" s="90">
        <v>0</v>
      </c>
      <c r="AA34" s="90">
        <v>0</v>
      </c>
      <c r="AB34" s="90">
        <v>0</v>
      </c>
      <c r="AC34" s="90">
        <v>0</v>
      </c>
      <c r="AD34" s="90">
        <v>0</v>
      </c>
      <c r="AE34" s="90">
        <v>0</v>
      </c>
    </row>
    <row r="35" spans="1:31" x14ac:dyDescent="0.2">
      <c r="A35">
        <v>2016</v>
      </c>
      <c r="B35">
        <v>2</v>
      </c>
      <c r="C35">
        <v>25</v>
      </c>
      <c r="D35" s="89">
        <v>42425</v>
      </c>
      <c r="E35" s="89">
        <v>42430</v>
      </c>
      <c r="F35" s="90">
        <v>9722</v>
      </c>
      <c r="G35" s="90" t="s">
        <v>135</v>
      </c>
      <c r="H35" s="90" t="s">
        <v>163</v>
      </c>
      <c r="I35" s="90" t="s">
        <v>124</v>
      </c>
      <c r="J35" s="90" t="s">
        <v>164</v>
      </c>
      <c r="K35" s="90" t="s">
        <v>126</v>
      </c>
      <c r="L35" s="90" t="s">
        <v>125</v>
      </c>
      <c r="M35" s="90" t="s">
        <v>125</v>
      </c>
      <c r="N35" s="92">
        <v>1000</v>
      </c>
      <c r="O35" s="90">
        <v>569</v>
      </c>
      <c r="P35" s="90">
        <v>891</v>
      </c>
      <c r="Q35" s="90">
        <v>71</v>
      </c>
      <c r="R35" s="90">
        <v>0</v>
      </c>
      <c r="S35" s="90" t="s">
        <v>166</v>
      </c>
      <c r="T35" s="92">
        <v>568038</v>
      </c>
      <c r="U35" s="90" t="s">
        <v>125</v>
      </c>
      <c r="V35" s="90">
        <v>0</v>
      </c>
      <c r="W35" s="90">
        <v>0</v>
      </c>
      <c r="X35" s="90">
        <v>0</v>
      </c>
      <c r="Y35" s="90">
        <v>0</v>
      </c>
      <c r="Z35" s="90">
        <v>0</v>
      </c>
      <c r="AA35" s="90">
        <v>0</v>
      </c>
      <c r="AB35" s="90">
        <v>0</v>
      </c>
      <c r="AC35" s="90">
        <v>0</v>
      </c>
      <c r="AD35" s="90">
        <v>0</v>
      </c>
      <c r="AE35" s="90">
        <v>0</v>
      </c>
    </row>
    <row r="36" spans="1:31" x14ac:dyDescent="0.2">
      <c r="A36">
        <v>2016</v>
      </c>
      <c r="B36">
        <v>2</v>
      </c>
      <c r="C36">
        <v>26</v>
      </c>
      <c r="D36" s="89">
        <v>42426</v>
      </c>
      <c r="E36" s="89">
        <v>42431</v>
      </c>
      <c r="F36" s="90">
        <v>1808</v>
      </c>
      <c r="G36" s="90" t="s">
        <v>138</v>
      </c>
      <c r="H36" s="90" t="s">
        <v>163</v>
      </c>
      <c r="I36" s="90" t="s">
        <v>124</v>
      </c>
      <c r="J36" s="90" t="s">
        <v>164</v>
      </c>
      <c r="K36" s="90" t="s">
        <v>165</v>
      </c>
      <c r="L36" s="90" t="s">
        <v>125</v>
      </c>
      <c r="M36" s="90" t="s">
        <v>125</v>
      </c>
      <c r="N36" s="90">
        <v>300</v>
      </c>
      <c r="O36" s="90">
        <v>982</v>
      </c>
      <c r="P36" s="90">
        <v>429</v>
      </c>
      <c r="Q36" s="90">
        <v>34</v>
      </c>
      <c r="R36" s="90">
        <v>0</v>
      </c>
      <c r="S36" s="90" t="s">
        <v>125</v>
      </c>
      <c r="T36" s="92">
        <v>295063</v>
      </c>
      <c r="U36" s="90" t="s">
        <v>125</v>
      </c>
      <c r="V36" s="90">
        <v>0</v>
      </c>
      <c r="W36" s="90">
        <v>0</v>
      </c>
      <c r="X36" s="90">
        <v>0</v>
      </c>
      <c r="Y36" s="90">
        <v>0</v>
      </c>
      <c r="Z36" s="90">
        <v>0</v>
      </c>
      <c r="AA36" s="90">
        <v>0</v>
      </c>
      <c r="AB36" s="90">
        <v>0</v>
      </c>
      <c r="AC36" s="90">
        <v>0</v>
      </c>
      <c r="AD36" s="90">
        <v>0</v>
      </c>
      <c r="AE36" s="90">
        <v>0</v>
      </c>
    </row>
    <row r="37" spans="1:31" x14ac:dyDescent="0.2">
      <c r="A37">
        <v>2016</v>
      </c>
      <c r="B37">
        <v>2</v>
      </c>
      <c r="C37">
        <v>29</v>
      </c>
      <c r="D37" s="89">
        <v>42429</v>
      </c>
      <c r="E37" s="89">
        <v>42432</v>
      </c>
      <c r="F37" s="90">
        <v>1808</v>
      </c>
      <c r="G37" s="90" t="s">
        <v>138</v>
      </c>
      <c r="H37" s="90" t="s">
        <v>163</v>
      </c>
      <c r="I37" s="90" t="s">
        <v>124</v>
      </c>
      <c r="J37" s="90" t="s">
        <v>164</v>
      </c>
      <c r="K37" s="90" t="s">
        <v>126</v>
      </c>
      <c r="L37" s="90" t="s">
        <v>125</v>
      </c>
      <c r="M37" s="90" t="s">
        <v>125</v>
      </c>
      <c r="N37" s="90">
        <v>300</v>
      </c>
      <c r="O37" s="91">
        <v>1010</v>
      </c>
      <c r="P37" s="90">
        <v>521</v>
      </c>
      <c r="Q37" s="90">
        <v>41</v>
      </c>
      <c r="R37" s="90">
        <v>0</v>
      </c>
      <c r="S37" s="90" t="s">
        <v>166</v>
      </c>
      <c r="T37" s="92">
        <v>302438</v>
      </c>
      <c r="U37" s="90" t="s">
        <v>125</v>
      </c>
      <c r="V37" s="90">
        <v>0</v>
      </c>
      <c r="W37" s="90">
        <v>0</v>
      </c>
      <c r="X37" s="90">
        <v>0</v>
      </c>
      <c r="Y37" s="90">
        <v>0</v>
      </c>
      <c r="Z37" s="90">
        <v>0</v>
      </c>
      <c r="AA37" s="90">
        <v>0</v>
      </c>
      <c r="AB37" s="90">
        <v>0</v>
      </c>
      <c r="AC37" s="90">
        <v>0</v>
      </c>
      <c r="AD37" s="90">
        <v>0</v>
      </c>
      <c r="AE37" s="90">
        <v>0</v>
      </c>
    </row>
    <row r="38" spans="1:31" x14ac:dyDescent="0.2">
      <c r="A38">
        <v>2016</v>
      </c>
      <c r="B38">
        <v>2</v>
      </c>
      <c r="C38">
        <v>29</v>
      </c>
      <c r="D38" s="89">
        <v>42429</v>
      </c>
      <c r="E38" s="89">
        <v>42432</v>
      </c>
      <c r="F38" s="90">
        <v>9616</v>
      </c>
      <c r="G38" s="90" t="s">
        <v>123</v>
      </c>
      <c r="H38" s="90" t="s">
        <v>163</v>
      </c>
      <c r="I38" s="90" t="s">
        <v>124</v>
      </c>
      <c r="J38" s="90" t="s">
        <v>164</v>
      </c>
      <c r="K38" s="90" t="s">
        <v>165</v>
      </c>
      <c r="L38" s="90" t="s">
        <v>125</v>
      </c>
      <c r="M38" s="90" t="s">
        <v>125</v>
      </c>
      <c r="N38" s="90">
        <v>100</v>
      </c>
      <c r="O38" s="91">
        <v>8600</v>
      </c>
      <c r="P38" s="92">
        <v>1479</v>
      </c>
      <c r="Q38" s="90">
        <v>119</v>
      </c>
      <c r="R38" s="90">
        <v>0</v>
      </c>
      <c r="S38" s="90" t="s">
        <v>125</v>
      </c>
      <c r="T38" s="92">
        <v>861598</v>
      </c>
      <c r="U38" s="90" t="s">
        <v>125</v>
      </c>
      <c r="V38" s="90">
        <v>0</v>
      </c>
      <c r="W38" s="90">
        <v>0</v>
      </c>
      <c r="X38" s="90">
        <v>0</v>
      </c>
      <c r="Y38" s="90">
        <v>0</v>
      </c>
      <c r="Z38" s="90">
        <v>0</v>
      </c>
      <c r="AA38" s="90">
        <v>0</v>
      </c>
      <c r="AB38" s="90">
        <v>0</v>
      </c>
      <c r="AC38" s="90">
        <v>0</v>
      </c>
      <c r="AD38" s="90">
        <v>0</v>
      </c>
      <c r="AE38" s="90">
        <v>0</v>
      </c>
    </row>
    <row r="39" spans="1:31" x14ac:dyDescent="0.2">
      <c r="D39" s="89">
        <v>42430</v>
      </c>
      <c r="E39" s="89">
        <v>42433</v>
      </c>
      <c r="F39" s="90">
        <v>5017</v>
      </c>
      <c r="G39" s="90" t="s">
        <v>221</v>
      </c>
      <c r="H39" s="90" t="s">
        <v>163</v>
      </c>
      <c r="I39" s="90" t="s">
        <v>124</v>
      </c>
      <c r="J39" s="90" t="s">
        <v>164</v>
      </c>
      <c r="K39" s="90" t="s">
        <v>165</v>
      </c>
      <c r="L39" s="90" t="s">
        <v>125</v>
      </c>
      <c r="M39" s="90" t="s">
        <v>125</v>
      </c>
      <c r="N39" s="92">
        <v>1000</v>
      </c>
      <c r="O39" s="90">
        <v>318</v>
      </c>
      <c r="P39" s="90">
        <v>538</v>
      </c>
      <c r="Q39" s="90">
        <v>44</v>
      </c>
      <c r="R39" s="90">
        <v>0</v>
      </c>
      <c r="S39" s="90" t="s">
        <v>125</v>
      </c>
      <c r="T39" s="92">
        <v>318582</v>
      </c>
      <c r="U39" s="90" t="s">
        <v>125</v>
      </c>
      <c r="V39" s="90">
        <v>0</v>
      </c>
      <c r="W39" s="90">
        <v>0</v>
      </c>
      <c r="X39" s="90">
        <v>0</v>
      </c>
      <c r="Y39" s="90">
        <v>0</v>
      </c>
      <c r="Z39" s="90">
        <v>0</v>
      </c>
      <c r="AA39" s="90">
        <v>0</v>
      </c>
      <c r="AB39" s="90">
        <v>0</v>
      </c>
      <c r="AC39" s="90">
        <v>0</v>
      </c>
      <c r="AD39" s="90">
        <v>0</v>
      </c>
      <c r="AE39" s="90">
        <v>0</v>
      </c>
    </row>
    <row r="40" spans="1:31" x14ac:dyDescent="0.2">
      <c r="D40" s="89">
        <v>42430</v>
      </c>
      <c r="E40" s="89">
        <v>42433</v>
      </c>
      <c r="F40" s="90">
        <v>5017</v>
      </c>
      <c r="G40" s="90" t="s">
        <v>221</v>
      </c>
      <c r="H40" s="90" t="s">
        <v>163</v>
      </c>
      <c r="I40" s="90" t="s">
        <v>124</v>
      </c>
      <c r="J40" s="90" t="s">
        <v>164</v>
      </c>
      <c r="K40" s="90" t="s">
        <v>126</v>
      </c>
      <c r="L40" s="90" t="s">
        <v>125</v>
      </c>
      <c r="M40" s="90" t="s">
        <v>125</v>
      </c>
      <c r="N40" s="92">
        <v>1000</v>
      </c>
      <c r="O40" s="90">
        <v>321</v>
      </c>
      <c r="P40" s="90">
        <v>0</v>
      </c>
      <c r="Q40" s="90">
        <v>0</v>
      </c>
      <c r="R40" s="90">
        <v>0</v>
      </c>
      <c r="S40" s="90" t="s">
        <v>166</v>
      </c>
      <c r="T40" s="92">
        <v>321000</v>
      </c>
      <c r="U40" s="90" t="s">
        <v>125</v>
      </c>
      <c r="V40" s="90">
        <v>0</v>
      </c>
      <c r="W40" s="90">
        <v>0</v>
      </c>
      <c r="X40" s="90">
        <v>0</v>
      </c>
      <c r="Y40" s="90">
        <v>0</v>
      </c>
      <c r="Z40" s="90">
        <v>0</v>
      </c>
      <c r="AA40" s="90">
        <v>0</v>
      </c>
      <c r="AB40" s="90">
        <v>0</v>
      </c>
      <c r="AC40" s="90">
        <v>0</v>
      </c>
      <c r="AD40" s="90">
        <v>0</v>
      </c>
      <c r="AE40" s="90">
        <v>0</v>
      </c>
    </row>
    <row r="41" spans="1:31" x14ac:dyDescent="0.2">
      <c r="D41" s="89">
        <v>42430</v>
      </c>
      <c r="E41" s="89">
        <v>42433</v>
      </c>
      <c r="F41" s="90">
        <v>9616</v>
      </c>
      <c r="G41" s="90" t="s">
        <v>123</v>
      </c>
      <c r="H41" s="90" t="s">
        <v>163</v>
      </c>
      <c r="I41" s="90" t="s">
        <v>124</v>
      </c>
      <c r="J41" s="90" t="s">
        <v>164</v>
      </c>
      <c r="K41" s="90" t="s">
        <v>126</v>
      </c>
      <c r="L41" s="90" t="s">
        <v>125</v>
      </c>
      <c r="M41" s="90" t="s">
        <v>125</v>
      </c>
      <c r="N41" s="90">
        <v>100</v>
      </c>
      <c r="O41" s="91">
        <v>8650</v>
      </c>
      <c r="P41" s="92">
        <v>1462</v>
      </c>
      <c r="Q41" s="90">
        <v>116</v>
      </c>
      <c r="R41" s="90">
        <v>0</v>
      </c>
      <c r="S41" s="90" t="s">
        <v>166</v>
      </c>
      <c r="T41" s="92">
        <v>863422</v>
      </c>
      <c r="U41" s="90" t="s">
        <v>125</v>
      </c>
      <c r="V41" s="90">
        <v>0</v>
      </c>
      <c r="W41" s="90">
        <v>0</v>
      </c>
      <c r="X41" s="90">
        <v>0</v>
      </c>
      <c r="Y41" s="90">
        <v>0</v>
      </c>
      <c r="Z41" s="90">
        <v>0</v>
      </c>
      <c r="AA41" s="90">
        <v>0</v>
      </c>
      <c r="AB41" s="90">
        <v>0</v>
      </c>
      <c r="AC41" s="90">
        <v>0</v>
      </c>
      <c r="AD41" s="90">
        <v>0</v>
      </c>
      <c r="AE41" s="90">
        <v>0</v>
      </c>
    </row>
    <row r="42" spans="1:31" x14ac:dyDescent="0.2">
      <c r="D42" s="89">
        <v>42431</v>
      </c>
      <c r="E42" s="89">
        <v>42436</v>
      </c>
      <c r="F42" s="90">
        <v>3099</v>
      </c>
      <c r="G42" s="90" t="s">
        <v>222</v>
      </c>
      <c r="H42" s="90" t="s">
        <v>163</v>
      </c>
      <c r="I42" s="90" t="s">
        <v>124</v>
      </c>
      <c r="J42" s="90" t="s">
        <v>164</v>
      </c>
      <c r="K42" s="90" t="s">
        <v>165</v>
      </c>
      <c r="L42" s="90" t="s">
        <v>125</v>
      </c>
      <c r="M42" s="90" t="s">
        <v>125</v>
      </c>
      <c r="N42" s="90">
        <v>300</v>
      </c>
      <c r="O42" s="91">
        <v>1366</v>
      </c>
      <c r="P42" s="90">
        <v>544</v>
      </c>
      <c r="Q42" s="90">
        <v>43</v>
      </c>
      <c r="R42" s="90">
        <v>0</v>
      </c>
      <c r="S42" s="90" t="s">
        <v>125</v>
      </c>
      <c r="T42" s="92">
        <v>410387</v>
      </c>
      <c r="U42" s="90" t="s">
        <v>125</v>
      </c>
      <c r="V42" s="90">
        <v>0</v>
      </c>
      <c r="W42" s="90">
        <v>0</v>
      </c>
      <c r="X42" s="90">
        <v>0</v>
      </c>
      <c r="Y42" s="90">
        <v>0</v>
      </c>
      <c r="Z42" s="90">
        <v>0</v>
      </c>
      <c r="AA42" s="90">
        <v>0</v>
      </c>
      <c r="AB42" s="90">
        <v>0</v>
      </c>
      <c r="AC42" s="90">
        <v>0</v>
      </c>
      <c r="AD42" s="90">
        <v>0</v>
      </c>
      <c r="AE42" s="90">
        <v>0</v>
      </c>
    </row>
    <row r="43" spans="1:31" x14ac:dyDescent="0.2">
      <c r="D43" s="89">
        <v>42431</v>
      </c>
      <c r="E43" s="89">
        <v>42436</v>
      </c>
      <c r="F43" s="90">
        <v>9064</v>
      </c>
      <c r="G43" s="90" t="s">
        <v>168</v>
      </c>
      <c r="H43" s="90" t="s">
        <v>163</v>
      </c>
      <c r="I43" s="90" t="s">
        <v>124</v>
      </c>
      <c r="J43" s="90" t="s">
        <v>164</v>
      </c>
      <c r="K43" s="90" t="s">
        <v>126</v>
      </c>
      <c r="L43" s="90" t="s">
        <v>125</v>
      </c>
      <c r="M43" s="90" t="s">
        <v>125</v>
      </c>
      <c r="N43" s="90">
        <v>100</v>
      </c>
      <c r="O43" s="91">
        <v>2370</v>
      </c>
      <c r="P43" s="90">
        <v>314</v>
      </c>
      <c r="Q43" s="90">
        <v>25</v>
      </c>
      <c r="R43" s="90">
        <v>0</v>
      </c>
      <c r="S43" s="90" t="s">
        <v>166</v>
      </c>
      <c r="T43" s="92">
        <v>236661</v>
      </c>
      <c r="U43" s="90" t="s">
        <v>125</v>
      </c>
      <c r="V43" s="90">
        <v>0</v>
      </c>
      <c r="W43" s="90">
        <v>0</v>
      </c>
      <c r="X43" s="90">
        <v>0</v>
      </c>
      <c r="Y43" s="90">
        <v>0</v>
      </c>
      <c r="Z43" s="90">
        <v>0</v>
      </c>
      <c r="AA43" s="90">
        <v>0</v>
      </c>
      <c r="AB43" s="90">
        <v>0</v>
      </c>
      <c r="AC43" s="90">
        <v>0</v>
      </c>
      <c r="AD43" s="90">
        <v>0</v>
      </c>
      <c r="AE43" s="90">
        <v>0</v>
      </c>
    </row>
    <row r="44" spans="1:31" x14ac:dyDescent="0.2">
      <c r="D44" s="89">
        <v>42432</v>
      </c>
      <c r="E44" s="89">
        <v>42437</v>
      </c>
      <c r="F44" s="90">
        <v>3099</v>
      </c>
      <c r="G44" s="90" t="s">
        <v>222</v>
      </c>
      <c r="H44" s="90" t="s">
        <v>163</v>
      </c>
      <c r="I44" s="90" t="s">
        <v>124</v>
      </c>
      <c r="J44" s="90" t="s">
        <v>164</v>
      </c>
      <c r="K44" s="90" t="s">
        <v>126</v>
      </c>
      <c r="L44" s="90" t="s">
        <v>125</v>
      </c>
      <c r="M44" s="90" t="s">
        <v>125</v>
      </c>
      <c r="N44" s="90">
        <v>300</v>
      </c>
      <c r="O44" s="91">
        <v>1386</v>
      </c>
      <c r="P44" s="90">
        <v>635</v>
      </c>
      <c r="Q44" s="90">
        <v>51</v>
      </c>
      <c r="R44" s="90">
        <v>0</v>
      </c>
      <c r="S44" s="90" t="s">
        <v>166</v>
      </c>
      <c r="T44" s="92">
        <v>415114</v>
      </c>
      <c r="U44" s="90" t="s">
        <v>125</v>
      </c>
      <c r="V44" s="90">
        <v>0</v>
      </c>
      <c r="W44" s="90">
        <v>0</v>
      </c>
      <c r="X44" s="90">
        <v>0</v>
      </c>
      <c r="Y44" s="90">
        <v>0</v>
      </c>
      <c r="Z44" s="90">
        <v>0</v>
      </c>
      <c r="AA44" s="90">
        <v>0</v>
      </c>
      <c r="AB44" s="90">
        <v>0</v>
      </c>
      <c r="AC44" s="90">
        <v>0</v>
      </c>
      <c r="AD44" s="90">
        <v>0</v>
      </c>
      <c r="AE44" s="90">
        <v>0</v>
      </c>
    </row>
    <row r="45" spans="1:31" x14ac:dyDescent="0.2">
      <c r="D45" s="89">
        <v>42432</v>
      </c>
      <c r="E45" s="89">
        <v>42437</v>
      </c>
      <c r="F45" s="90">
        <v>9616</v>
      </c>
      <c r="G45" s="90" t="s">
        <v>123</v>
      </c>
      <c r="H45" s="90" t="s">
        <v>163</v>
      </c>
      <c r="I45" s="90" t="s">
        <v>124</v>
      </c>
      <c r="J45" s="90" t="s">
        <v>164</v>
      </c>
      <c r="K45" s="90" t="s">
        <v>165</v>
      </c>
      <c r="L45" s="90" t="s">
        <v>125</v>
      </c>
      <c r="M45" s="90" t="s">
        <v>125</v>
      </c>
      <c r="N45" s="90">
        <v>100</v>
      </c>
      <c r="O45" s="91">
        <v>8940</v>
      </c>
      <c r="P45" s="92">
        <v>1365</v>
      </c>
      <c r="Q45" s="90">
        <v>109</v>
      </c>
      <c r="R45" s="90">
        <v>0</v>
      </c>
      <c r="S45" s="90" t="s">
        <v>125</v>
      </c>
      <c r="T45" s="92">
        <v>895474</v>
      </c>
      <c r="U45" s="90" t="s">
        <v>125</v>
      </c>
      <c r="V45" s="90">
        <v>0</v>
      </c>
      <c r="W45" s="90">
        <v>0</v>
      </c>
      <c r="X45" s="90">
        <v>0</v>
      </c>
      <c r="Y45" s="90">
        <v>0</v>
      </c>
      <c r="Z45" s="90">
        <v>0</v>
      </c>
      <c r="AA45" s="90">
        <v>0</v>
      </c>
      <c r="AB45" s="90">
        <v>0</v>
      </c>
      <c r="AC45" s="90">
        <v>0</v>
      </c>
      <c r="AD45" s="90">
        <v>0</v>
      </c>
      <c r="AE45" s="90">
        <v>0</v>
      </c>
    </row>
    <row r="46" spans="1:31" x14ac:dyDescent="0.2">
      <c r="D46" s="89">
        <v>42433</v>
      </c>
      <c r="E46" s="89">
        <v>42438</v>
      </c>
      <c r="F46" s="90">
        <v>5017</v>
      </c>
      <c r="G46" s="90" t="s">
        <v>221</v>
      </c>
      <c r="H46" s="90" t="s">
        <v>163</v>
      </c>
      <c r="I46" s="90" t="s">
        <v>124</v>
      </c>
      <c r="J46" s="90" t="s">
        <v>164</v>
      </c>
      <c r="K46" s="90" t="s">
        <v>165</v>
      </c>
      <c r="L46" s="90" t="s">
        <v>125</v>
      </c>
      <c r="M46" s="90" t="s">
        <v>125</v>
      </c>
      <c r="N46" s="92">
        <v>1000</v>
      </c>
      <c r="O46" s="90">
        <v>363</v>
      </c>
      <c r="P46" s="90">
        <v>725</v>
      </c>
      <c r="Q46" s="90">
        <v>58</v>
      </c>
      <c r="R46" s="90">
        <v>0</v>
      </c>
      <c r="S46" s="90" t="s">
        <v>125</v>
      </c>
      <c r="T46" s="92">
        <v>363783</v>
      </c>
      <c r="U46" s="90" t="s">
        <v>125</v>
      </c>
      <c r="V46" s="90">
        <v>0</v>
      </c>
      <c r="W46" s="90">
        <v>0</v>
      </c>
      <c r="X46" s="90">
        <v>0</v>
      </c>
      <c r="Y46" s="90">
        <v>0</v>
      </c>
      <c r="Z46" s="90">
        <v>0</v>
      </c>
      <c r="AA46" s="90">
        <v>0</v>
      </c>
      <c r="AB46" s="90">
        <v>0</v>
      </c>
      <c r="AC46" s="90">
        <v>0</v>
      </c>
      <c r="AD46" s="90">
        <v>0</v>
      </c>
      <c r="AE46" s="90">
        <v>0</v>
      </c>
    </row>
    <row r="47" spans="1:31" x14ac:dyDescent="0.2">
      <c r="D47" s="89">
        <v>42433</v>
      </c>
      <c r="E47" s="89">
        <v>42438</v>
      </c>
      <c r="F47" s="90">
        <v>5411</v>
      </c>
      <c r="G47" s="90" t="s">
        <v>129</v>
      </c>
      <c r="H47" s="90" t="s">
        <v>163</v>
      </c>
      <c r="I47" s="90" t="s">
        <v>124</v>
      </c>
      <c r="J47" s="90" t="s">
        <v>164</v>
      </c>
      <c r="K47" s="90" t="s">
        <v>165</v>
      </c>
      <c r="L47" s="90" t="s">
        <v>125</v>
      </c>
      <c r="M47" s="90" t="s">
        <v>125</v>
      </c>
      <c r="N47" s="90">
        <v>400</v>
      </c>
      <c r="O47" s="91">
        <v>1596</v>
      </c>
      <c r="P47" s="92">
        <v>1275</v>
      </c>
      <c r="Q47" s="90">
        <v>102</v>
      </c>
      <c r="R47" s="90">
        <v>0</v>
      </c>
      <c r="S47" s="90" t="s">
        <v>125</v>
      </c>
      <c r="T47" s="92">
        <v>639777</v>
      </c>
      <c r="U47" s="90" t="s">
        <v>125</v>
      </c>
      <c r="V47" s="90">
        <v>0</v>
      </c>
      <c r="W47" s="90">
        <v>0</v>
      </c>
      <c r="X47" s="90">
        <v>0</v>
      </c>
      <c r="Y47" s="90">
        <v>0</v>
      </c>
      <c r="Z47" s="90">
        <v>0</v>
      </c>
      <c r="AA47" s="90">
        <v>0</v>
      </c>
      <c r="AB47" s="90">
        <v>0</v>
      </c>
      <c r="AC47" s="90">
        <v>0</v>
      </c>
      <c r="AD47" s="90">
        <v>0</v>
      </c>
      <c r="AE47" s="90">
        <v>0</v>
      </c>
    </row>
    <row r="48" spans="1:31" x14ac:dyDescent="0.2">
      <c r="D48" s="89">
        <v>42433</v>
      </c>
      <c r="E48" s="89">
        <v>42438</v>
      </c>
      <c r="F48" s="90">
        <v>5411</v>
      </c>
      <c r="G48" s="90" t="s">
        <v>129</v>
      </c>
      <c r="H48" s="90" t="s">
        <v>163</v>
      </c>
      <c r="I48" s="90" t="s">
        <v>124</v>
      </c>
      <c r="J48" s="90" t="s">
        <v>164</v>
      </c>
      <c r="K48" s="90" t="s">
        <v>126</v>
      </c>
      <c r="L48" s="90" t="s">
        <v>125</v>
      </c>
      <c r="M48" s="90" t="s">
        <v>125</v>
      </c>
      <c r="N48" s="90">
        <v>400</v>
      </c>
      <c r="O48" s="91">
        <v>1620</v>
      </c>
      <c r="P48" s="90">
        <v>0</v>
      </c>
      <c r="Q48" s="90">
        <v>0</v>
      </c>
      <c r="R48" s="90">
        <v>0</v>
      </c>
      <c r="S48" s="90" t="s">
        <v>166</v>
      </c>
      <c r="T48" s="92">
        <v>648000</v>
      </c>
      <c r="U48" s="90" t="s">
        <v>125</v>
      </c>
      <c r="V48" s="90">
        <v>0</v>
      </c>
      <c r="W48" s="90">
        <v>0</v>
      </c>
      <c r="X48" s="90">
        <v>0</v>
      </c>
      <c r="Y48" s="90">
        <v>0</v>
      </c>
      <c r="Z48" s="90">
        <v>0</v>
      </c>
      <c r="AA48" s="90">
        <v>0</v>
      </c>
      <c r="AB48" s="90">
        <v>0</v>
      </c>
      <c r="AC48" s="90">
        <v>0</v>
      </c>
      <c r="AD48" s="90">
        <v>0</v>
      </c>
      <c r="AE48" s="90">
        <v>0</v>
      </c>
    </row>
    <row r="49" spans="4:31" x14ac:dyDescent="0.2">
      <c r="D49" s="89">
        <v>42436</v>
      </c>
      <c r="E49" s="89">
        <v>42439</v>
      </c>
      <c r="F49" s="90">
        <v>9101</v>
      </c>
      <c r="G49" s="90" t="s">
        <v>167</v>
      </c>
      <c r="H49" s="90" t="s">
        <v>163</v>
      </c>
      <c r="I49" s="90" t="s">
        <v>124</v>
      </c>
      <c r="J49" s="90" t="s">
        <v>164</v>
      </c>
      <c r="K49" s="90" t="s">
        <v>126</v>
      </c>
      <c r="L49" s="90" t="s">
        <v>125</v>
      </c>
      <c r="M49" s="90" t="s">
        <v>125</v>
      </c>
      <c r="N49" s="92">
        <v>2000</v>
      </c>
      <c r="O49" s="90">
        <v>243</v>
      </c>
      <c r="P49" s="90">
        <v>429</v>
      </c>
      <c r="Q49" s="90">
        <v>34</v>
      </c>
      <c r="R49" s="90">
        <v>0</v>
      </c>
      <c r="S49" s="90" t="s">
        <v>166</v>
      </c>
      <c r="T49" s="92">
        <v>485537</v>
      </c>
      <c r="U49" s="90" t="s">
        <v>125</v>
      </c>
      <c r="V49" s="90">
        <v>0</v>
      </c>
      <c r="W49" s="90">
        <v>0</v>
      </c>
      <c r="X49" s="90">
        <v>0</v>
      </c>
      <c r="Y49" s="90">
        <v>0</v>
      </c>
      <c r="Z49" s="90">
        <v>0</v>
      </c>
      <c r="AA49" s="90">
        <v>0</v>
      </c>
      <c r="AB49" s="90">
        <v>0</v>
      </c>
      <c r="AC49" s="90">
        <v>0</v>
      </c>
      <c r="AD49" s="90">
        <v>0</v>
      </c>
      <c r="AE49" s="90">
        <v>0</v>
      </c>
    </row>
    <row r="50" spans="4:31" x14ac:dyDescent="0.2">
      <c r="D50" s="89">
        <v>42437</v>
      </c>
      <c r="E50" s="89">
        <v>42440</v>
      </c>
      <c r="F50" s="90">
        <v>5411</v>
      </c>
      <c r="G50" s="90" t="s">
        <v>129</v>
      </c>
      <c r="H50" s="90" t="s">
        <v>163</v>
      </c>
      <c r="I50" s="90" t="s">
        <v>124</v>
      </c>
      <c r="J50" s="90" t="s">
        <v>164</v>
      </c>
      <c r="K50" s="90" t="s">
        <v>165</v>
      </c>
      <c r="L50" s="90" t="s">
        <v>125</v>
      </c>
      <c r="M50" s="90" t="s">
        <v>125</v>
      </c>
      <c r="N50" s="90">
        <v>400</v>
      </c>
      <c r="O50" s="91">
        <v>1609</v>
      </c>
      <c r="P50" s="90">
        <v>858</v>
      </c>
      <c r="Q50" s="90">
        <v>68</v>
      </c>
      <c r="R50" s="90">
        <v>0</v>
      </c>
      <c r="S50" s="90" t="s">
        <v>125</v>
      </c>
      <c r="T50" s="92">
        <v>644526</v>
      </c>
      <c r="U50" s="90" t="s">
        <v>125</v>
      </c>
      <c r="V50" s="90">
        <v>0</v>
      </c>
      <c r="W50" s="90">
        <v>0</v>
      </c>
      <c r="X50" s="90">
        <v>0</v>
      </c>
      <c r="Y50" s="90">
        <v>0</v>
      </c>
      <c r="Z50" s="90">
        <v>0</v>
      </c>
      <c r="AA50" s="90">
        <v>0</v>
      </c>
      <c r="AB50" s="90">
        <v>0</v>
      </c>
      <c r="AC50" s="90">
        <v>0</v>
      </c>
      <c r="AD50" s="90">
        <v>0</v>
      </c>
      <c r="AE50" s="90">
        <v>0</v>
      </c>
    </row>
    <row r="51" spans="4:31" x14ac:dyDescent="0.2">
      <c r="D51" s="89">
        <v>42437</v>
      </c>
      <c r="E51" s="89">
        <v>42440</v>
      </c>
      <c r="F51" s="90">
        <v>5411</v>
      </c>
      <c r="G51" s="90" t="s">
        <v>129</v>
      </c>
      <c r="H51" s="90" t="s">
        <v>163</v>
      </c>
      <c r="I51" s="90" t="s">
        <v>124</v>
      </c>
      <c r="J51" s="90" t="s">
        <v>164</v>
      </c>
      <c r="K51" s="90" t="s">
        <v>126</v>
      </c>
      <c r="L51" s="90" t="s">
        <v>125</v>
      </c>
      <c r="M51" s="90" t="s">
        <v>125</v>
      </c>
      <c r="N51" s="90">
        <v>400</v>
      </c>
      <c r="O51" s="91">
        <v>1623</v>
      </c>
      <c r="P51" s="90">
        <v>0</v>
      </c>
      <c r="Q51" s="90">
        <v>0</v>
      </c>
      <c r="R51" s="90">
        <v>0</v>
      </c>
      <c r="S51" s="90" t="s">
        <v>166</v>
      </c>
      <c r="T51" s="92">
        <v>649200</v>
      </c>
      <c r="U51" s="90" t="s">
        <v>125</v>
      </c>
      <c r="V51" s="90">
        <v>0</v>
      </c>
      <c r="W51" s="90">
        <v>0</v>
      </c>
      <c r="X51" s="90">
        <v>0</v>
      </c>
      <c r="Y51" s="90">
        <v>0</v>
      </c>
      <c r="Z51" s="90">
        <v>0</v>
      </c>
      <c r="AA51" s="90">
        <v>0</v>
      </c>
      <c r="AB51" s="90">
        <v>0</v>
      </c>
      <c r="AC51" s="90">
        <v>0</v>
      </c>
      <c r="AD51" s="90">
        <v>0</v>
      </c>
      <c r="AE51" s="90">
        <v>0</v>
      </c>
    </row>
    <row r="52" spans="4:31" x14ac:dyDescent="0.2">
      <c r="D52" s="89">
        <v>42438</v>
      </c>
      <c r="E52" s="89">
        <v>42443</v>
      </c>
      <c r="F52" s="90">
        <v>1808</v>
      </c>
      <c r="G52" s="90" t="s">
        <v>138</v>
      </c>
      <c r="H52" s="90" t="s">
        <v>163</v>
      </c>
      <c r="I52" s="90" t="s">
        <v>124</v>
      </c>
      <c r="J52" s="90" t="s">
        <v>164</v>
      </c>
      <c r="K52" s="90" t="s">
        <v>165</v>
      </c>
      <c r="L52" s="90" t="s">
        <v>125</v>
      </c>
      <c r="M52" s="90" t="s">
        <v>125</v>
      </c>
      <c r="N52" s="90">
        <v>300</v>
      </c>
      <c r="O52" s="91">
        <v>1009</v>
      </c>
      <c r="P52" s="90">
        <v>285</v>
      </c>
      <c r="Q52" s="90">
        <v>23</v>
      </c>
      <c r="R52" s="90">
        <v>0</v>
      </c>
      <c r="S52" s="90" t="s">
        <v>125</v>
      </c>
      <c r="T52" s="92">
        <v>303008</v>
      </c>
      <c r="U52" s="90" t="s">
        <v>125</v>
      </c>
      <c r="V52" s="90">
        <v>0</v>
      </c>
      <c r="W52" s="90">
        <v>0</v>
      </c>
      <c r="X52" s="90">
        <v>0</v>
      </c>
      <c r="Y52" s="90">
        <v>0</v>
      </c>
      <c r="Z52" s="90">
        <v>0</v>
      </c>
      <c r="AA52" s="90">
        <v>0</v>
      </c>
      <c r="AB52" s="90">
        <v>0</v>
      </c>
      <c r="AC52" s="90">
        <v>0</v>
      </c>
      <c r="AD52" s="90">
        <v>0</v>
      </c>
      <c r="AE52" s="90">
        <v>0</v>
      </c>
    </row>
    <row r="53" spans="4:31" x14ac:dyDescent="0.2">
      <c r="D53" s="89">
        <v>42438</v>
      </c>
      <c r="E53" s="89">
        <v>42443</v>
      </c>
      <c r="F53" s="90">
        <v>5411</v>
      </c>
      <c r="G53" s="90" t="s">
        <v>129</v>
      </c>
      <c r="H53" s="90" t="s">
        <v>163</v>
      </c>
      <c r="I53" s="90" t="s">
        <v>124</v>
      </c>
      <c r="J53" s="90" t="s">
        <v>164</v>
      </c>
      <c r="K53" s="90" t="s">
        <v>165</v>
      </c>
      <c r="L53" s="90" t="s">
        <v>125</v>
      </c>
      <c r="M53" s="90" t="s">
        <v>125</v>
      </c>
      <c r="N53" s="90">
        <v>400</v>
      </c>
      <c r="O53" s="91">
        <v>1523</v>
      </c>
      <c r="P53" s="90">
        <v>573</v>
      </c>
      <c r="Q53" s="90">
        <v>45</v>
      </c>
      <c r="R53" s="90">
        <v>0</v>
      </c>
      <c r="S53" s="90" t="s">
        <v>125</v>
      </c>
      <c r="T53" s="92">
        <v>609818</v>
      </c>
      <c r="U53" s="90" t="s">
        <v>125</v>
      </c>
      <c r="V53" s="90">
        <v>0</v>
      </c>
      <c r="W53" s="90">
        <v>0</v>
      </c>
      <c r="X53" s="90">
        <v>0</v>
      </c>
      <c r="Y53" s="90">
        <v>0</v>
      </c>
      <c r="Z53" s="90">
        <v>0</v>
      </c>
      <c r="AA53" s="90">
        <v>0</v>
      </c>
      <c r="AB53" s="90">
        <v>0</v>
      </c>
      <c r="AC53" s="90">
        <v>0</v>
      </c>
      <c r="AD53" s="90">
        <v>0</v>
      </c>
      <c r="AE53" s="90">
        <v>0</v>
      </c>
    </row>
    <row r="54" spans="4:31" x14ac:dyDescent="0.2">
      <c r="D54" s="89">
        <v>42438</v>
      </c>
      <c r="E54" s="89">
        <v>42443</v>
      </c>
      <c r="F54" s="90">
        <v>5411</v>
      </c>
      <c r="G54" s="90" t="s">
        <v>129</v>
      </c>
      <c r="H54" s="90" t="s">
        <v>163</v>
      </c>
      <c r="I54" s="90" t="s">
        <v>124</v>
      </c>
      <c r="J54" s="90" t="s">
        <v>164</v>
      </c>
      <c r="K54" s="90" t="s">
        <v>126</v>
      </c>
      <c r="L54" s="90" t="s">
        <v>125</v>
      </c>
      <c r="M54" s="90" t="s">
        <v>125</v>
      </c>
      <c r="N54" s="90">
        <v>400</v>
      </c>
      <c r="O54" s="91">
        <v>1541</v>
      </c>
      <c r="P54" s="90">
        <v>0</v>
      </c>
      <c r="Q54" s="90">
        <v>0</v>
      </c>
      <c r="R54" s="90">
        <v>0</v>
      </c>
      <c r="S54" s="90" t="s">
        <v>166</v>
      </c>
      <c r="T54" s="92">
        <v>616400</v>
      </c>
      <c r="U54" s="90" t="s">
        <v>125</v>
      </c>
      <c r="V54" s="90">
        <v>0</v>
      </c>
      <c r="W54" s="90">
        <v>0</v>
      </c>
      <c r="X54" s="90">
        <v>0</v>
      </c>
      <c r="Y54" s="90">
        <v>0</v>
      </c>
      <c r="Z54" s="90">
        <v>0</v>
      </c>
      <c r="AA54" s="90">
        <v>0</v>
      </c>
      <c r="AB54" s="90">
        <v>0</v>
      </c>
      <c r="AC54" s="90">
        <v>0</v>
      </c>
      <c r="AD54" s="90">
        <v>0</v>
      </c>
      <c r="AE54" s="90">
        <v>0</v>
      </c>
    </row>
    <row r="55" spans="4:31" x14ac:dyDescent="0.2">
      <c r="D55" s="89">
        <v>42439</v>
      </c>
      <c r="E55" s="89">
        <v>42444</v>
      </c>
      <c r="F55" s="90">
        <v>1808</v>
      </c>
      <c r="G55" s="90" t="s">
        <v>138</v>
      </c>
      <c r="H55" s="90" t="s">
        <v>163</v>
      </c>
      <c r="I55" s="90" t="s">
        <v>124</v>
      </c>
      <c r="J55" s="90" t="s">
        <v>164</v>
      </c>
      <c r="K55" s="90" t="s">
        <v>126</v>
      </c>
      <c r="L55" s="90" t="s">
        <v>125</v>
      </c>
      <c r="M55" s="90" t="s">
        <v>125</v>
      </c>
      <c r="N55" s="90">
        <v>300</v>
      </c>
      <c r="O55" s="91">
        <v>1019</v>
      </c>
      <c r="P55" s="90">
        <v>284</v>
      </c>
      <c r="Q55" s="90">
        <v>22</v>
      </c>
      <c r="R55" s="90">
        <v>0</v>
      </c>
      <c r="S55" s="90" t="s">
        <v>166</v>
      </c>
      <c r="T55" s="92">
        <v>305394</v>
      </c>
      <c r="U55" s="90" t="s">
        <v>125</v>
      </c>
      <c r="V55" s="90">
        <v>0</v>
      </c>
      <c r="W55" s="90">
        <v>0</v>
      </c>
      <c r="X55" s="90">
        <v>0</v>
      </c>
      <c r="Y55" s="90">
        <v>0</v>
      </c>
      <c r="Z55" s="90">
        <v>0</v>
      </c>
      <c r="AA55" s="90">
        <v>0</v>
      </c>
      <c r="AB55" s="90">
        <v>0</v>
      </c>
      <c r="AC55" s="90">
        <v>0</v>
      </c>
      <c r="AD55" s="90">
        <v>0</v>
      </c>
      <c r="AE55" s="90">
        <v>0</v>
      </c>
    </row>
    <row r="56" spans="4:31" x14ac:dyDescent="0.2">
      <c r="D56" s="89">
        <v>42439</v>
      </c>
      <c r="E56" s="89">
        <v>42444</v>
      </c>
      <c r="F56" s="90">
        <v>5411</v>
      </c>
      <c r="G56" s="90" t="s">
        <v>129</v>
      </c>
      <c r="H56" s="90" t="s">
        <v>163</v>
      </c>
      <c r="I56" s="90" t="s">
        <v>124</v>
      </c>
      <c r="J56" s="90" t="s">
        <v>164</v>
      </c>
      <c r="K56" s="90" t="s">
        <v>165</v>
      </c>
      <c r="L56" s="90" t="s">
        <v>125</v>
      </c>
      <c r="M56" s="90" t="s">
        <v>125</v>
      </c>
      <c r="N56" s="90">
        <v>400</v>
      </c>
      <c r="O56" s="91">
        <v>1539</v>
      </c>
      <c r="P56" s="90">
        <v>574</v>
      </c>
      <c r="Q56" s="90">
        <v>46</v>
      </c>
      <c r="R56" s="90">
        <v>0</v>
      </c>
      <c r="S56" s="90" t="s">
        <v>125</v>
      </c>
      <c r="T56" s="92">
        <v>616220</v>
      </c>
      <c r="U56" s="90" t="s">
        <v>125</v>
      </c>
      <c r="V56" s="90">
        <v>0</v>
      </c>
      <c r="W56" s="90">
        <v>0</v>
      </c>
      <c r="X56" s="90">
        <v>0</v>
      </c>
      <c r="Y56" s="90">
        <v>0</v>
      </c>
      <c r="Z56" s="90">
        <v>0</v>
      </c>
      <c r="AA56" s="90">
        <v>0</v>
      </c>
      <c r="AB56" s="90">
        <v>0</v>
      </c>
      <c r="AC56" s="90">
        <v>0</v>
      </c>
      <c r="AD56" s="90">
        <v>0</v>
      </c>
      <c r="AE56" s="90">
        <v>0</v>
      </c>
    </row>
    <row r="57" spans="4:31" x14ac:dyDescent="0.2">
      <c r="D57" s="89">
        <v>42439</v>
      </c>
      <c r="E57" s="89">
        <v>42444</v>
      </c>
      <c r="F57" s="90">
        <v>5411</v>
      </c>
      <c r="G57" s="90" t="s">
        <v>129</v>
      </c>
      <c r="H57" s="90" t="s">
        <v>163</v>
      </c>
      <c r="I57" s="90" t="s">
        <v>124</v>
      </c>
      <c r="J57" s="90" t="s">
        <v>164</v>
      </c>
      <c r="K57" s="90" t="s">
        <v>126</v>
      </c>
      <c r="L57" s="90" t="s">
        <v>125</v>
      </c>
      <c r="M57" s="90" t="s">
        <v>125</v>
      </c>
      <c r="N57" s="90">
        <v>400</v>
      </c>
      <c r="O57" s="91">
        <v>1547</v>
      </c>
      <c r="P57" s="90">
        <v>0</v>
      </c>
      <c r="Q57" s="90">
        <v>0</v>
      </c>
      <c r="R57" s="90">
        <v>0</v>
      </c>
      <c r="S57" s="90" t="s">
        <v>166</v>
      </c>
      <c r="T57" s="92">
        <v>618800</v>
      </c>
      <c r="U57" s="90" t="s">
        <v>125</v>
      </c>
      <c r="V57" s="90">
        <v>0</v>
      </c>
      <c r="W57" s="90">
        <v>0</v>
      </c>
      <c r="X57" s="90">
        <v>0</v>
      </c>
      <c r="Y57" s="90">
        <v>0</v>
      </c>
      <c r="Z57" s="90">
        <v>0</v>
      </c>
      <c r="AA57" s="90">
        <v>0</v>
      </c>
      <c r="AB57" s="90">
        <v>0</v>
      </c>
      <c r="AC57" s="90">
        <v>0</v>
      </c>
      <c r="AD57" s="90">
        <v>0</v>
      </c>
      <c r="AE57" s="90">
        <v>0</v>
      </c>
    </row>
    <row r="58" spans="4:31" x14ac:dyDescent="0.2">
      <c r="D58" s="89">
        <v>42440</v>
      </c>
      <c r="E58" s="89">
        <v>42445</v>
      </c>
      <c r="F58" s="90">
        <v>9104</v>
      </c>
      <c r="G58" s="90" t="s">
        <v>223</v>
      </c>
      <c r="H58" s="90" t="s">
        <v>163</v>
      </c>
      <c r="I58" s="90" t="s">
        <v>124</v>
      </c>
      <c r="J58" s="90" t="s">
        <v>164</v>
      </c>
      <c r="K58" s="90" t="s">
        <v>165</v>
      </c>
      <c r="L58" s="90" t="s">
        <v>125</v>
      </c>
      <c r="M58" s="90" t="s">
        <v>125</v>
      </c>
      <c r="N58" s="92">
        <v>3000</v>
      </c>
      <c r="O58" s="90">
        <v>245</v>
      </c>
      <c r="P58" s="90">
        <v>858</v>
      </c>
      <c r="Q58" s="90">
        <v>68</v>
      </c>
      <c r="R58" s="90">
        <v>0</v>
      </c>
      <c r="S58" s="90" t="s">
        <v>125</v>
      </c>
      <c r="T58" s="92">
        <v>735926</v>
      </c>
      <c r="U58" s="90" t="s">
        <v>125</v>
      </c>
      <c r="V58" s="90">
        <v>0</v>
      </c>
      <c r="W58" s="90">
        <v>0</v>
      </c>
      <c r="X58" s="90">
        <v>0</v>
      </c>
      <c r="Y58" s="90">
        <v>0</v>
      </c>
      <c r="Z58" s="90">
        <v>0</v>
      </c>
      <c r="AA58" s="90">
        <v>0</v>
      </c>
      <c r="AB58" s="90">
        <v>0</v>
      </c>
      <c r="AC58" s="90">
        <v>0</v>
      </c>
      <c r="AD58" s="90">
        <v>0</v>
      </c>
      <c r="AE58" s="90">
        <v>0</v>
      </c>
    </row>
    <row r="59" spans="4:31" x14ac:dyDescent="0.2">
      <c r="D59" s="89">
        <v>42440</v>
      </c>
      <c r="E59" s="89">
        <v>42445</v>
      </c>
      <c r="F59" s="90">
        <v>9104</v>
      </c>
      <c r="G59" s="90" t="s">
        <v>223</v>
      </c>
      <c r="H59" s="90" t="s">
        <v>163</v>
      </c>
      <c r="I59" s="90" t="s">
        <v>124</v>
      </c>
      <c r="J59" s="90" t="s">
        <v>164</v>
      </c>
      <c r="K59" s="90" t="s">
        <v>126</v>
      </c>
      <c r="L59" s="90" t="s">
        <v>125</v>
      </c>
      <c r="M59" s="90" t="s">
        <v>125</v>
      </c>
      <c r="N59" s="92">
        <v>3000</v>
      </c>
      <c r="O59" s="90">
        <v>249</v>
      </c>
      <c r="P59" s="90">
        <v>0</v>
      </c>
      <c r="Q59" s="90">
        <v>0</v>
      </c>
      <c r="R59" s="90">
        <v>0</v>
      </c>
      <c r="S59" s="90" t="s">
        <v>166</v>
      </c>
      <c r="T59" s="92">
        <v>747000</v>
      </c>
      <c r="U59" s="90" t="s">
        <v>125</v>
      </c>
      <c r="V59" s="90">
        <v>0</v>
      </c>
      <c r="W59" s="90">
        <v>0</v>
      </c>
      <c r="X59" s="90">
        <v>0</v>
      </c>
      <c r="Y59" s="90">
        <v>0</v>
      </c>
      <c r="Z59" s="90">
        <v>0</v>
      </c>
      <c r="AA59" s="90">
        <v>0</v>
      </c>
      <c r="AB59" s="90">
        <v>0</v>
      </c>
      <c r="AC59" s="90">
        <v>0</v>
      </c>
      <c r="AD59" s="90">
        <v>0</v>
      </c>
      <c r="AE59" s="90">
        <v>0</v>
      </c>
    </row>
    <row r="60" spans="4:31" x14ac:dyDescent="0.2">
      <c r="D60" s="89">
        <v>42443</v>
      </c>
      <c r="E60" s="89">
        <v>42446</v>
      </c>
      <c r="F60" s="90">
        <v>7282</v>
      </c>
      <c r="G60" s="90" t="s">
        <v>224</v>
      </c>
      <c r="H60" s="90" t="s">
        <v>163</v>
      </c>
      <c r="I60" s="90" t="s">
        <v>124</v>
      </c>
      <c r="J60" s="90" t="s">
        <v>164</v>
      </c>
      <c r="K60" s="90" t="s">
        <v>165</v>
      </c>
      <c r="L60" s="90" t="s">
        <v>125</v>
      </c>
      <c r="M60" s="90" t="s">
        <v>125</v>
      </c>
      <c r="N60" s="90">
        <v>300</v>
      </c>
      <c r="O60" s="91">
        <v>2220</v>
      </c>
      <c r="P60" s="90">
        <v>858</v>
      </c>
      <c r="Q60" s="90">
        <v>68</v>
      </c>
      <c r="R60" s="90">
        <v>0</v>
      </c>
      <c r="S60" s="90" t="s">
        <v>125</v>
      </c>
      <c r="T60" s="92">
        <v>666926</v>
      </c>
      <c r="U60" s="90" t="s">
        <v>125</v>
      </c>
      <c r="V60" s="90">
        <v>0</v>
      </c>
      <c r="W60" s="90">
        <v>0</v>
      </c>
      <c r="X60" s="90">
        <v>0</v>
      </c>
      <c r="Y60" s="90">
        <v>0</v>
      </c>
      <c r="Z60" s="90">
        <v>0</v>
      </c>
      <c r="AA60" s="90">
        <v>0</v>
      </c>
      <c r="AB60" s="90">
        <v>0</v>
      </c>
      <c r="AC60" s="90">
        <v>0</v>
      </c>
      <c r="AD60" s="90">
        <v>0</v>
      </c>
      <c r="AE60" s="90">
        <v>0</v>
      </c>
    </row>
    <row r="61" spans="4:31" x14ac:dyDescent="0.2">
      <c r="D61" s="89">
        <v>42445</v>
      </c>
      <c r="E61" s="89">
        <v>42451</v>
      </c>
      <c r="F61" s="90">
        <v>7282</v>
      </c>
      <c r="G61" s="90" t="s">
        <v>224</v>
      </c>
      <c r="H61" s="90" t="s">
        <v>163</v>
      </c>
      <c r="I61" s="90" t="s">
        <v>124</v>
      </c>
      <c r="J61" s="90" t="s">
        <v>164</v>
      </c>
      <c r="K61" s="90" t="s">
        <v>165</v>
      </c>
      <c r="L61" s="90" t="s">
        <v>125</v>
      </c>
      <c r="M61" s="90" t="s">
        <v>125</v>
      </c>
      <c r="N61" s="90">
        <v>100</v>
      </c>
      <c r="O61" s="91">
        <v>2167</v>
      </c>
      <c r="P61" s="90">
        <v>429</v>
      </c>
      <c r="Q61" s="90">
        <v>34</v>
      </c>
      <c r="R61" s="90">
        <v>0</v>
      </c>
      <c r="S61" s="90" t="s">
        <v>125</v>
      </c>
      <c r="T61" s="92">
        <v>217163</v>
      </c>
      <c r="U61" s="90" t="s">
        <v>125</v>
      </c>
      <c r="V61" s="90">
        <v>0</v>
      </c>
      <c r="W61" s="90">
        <v>0</v>
      </c>
      <c r="X61" s="90">
        <v>0</v>
      </c>
      <c r="Y61" s="90">
        <v>0</v>
      </c>
      <c r="Z61" s="90">
        <v>0</v>
      </c>
      <c r="AA61" s="90">
        <v>0</v>
      </c>
      <c r="AB61" s="90">
        <v>0</v>
      </c>
      <c r="AC61" s="90">
        <v>0</v>
      </c>
      <c r="AD61" s="90">
        <v>0</v>
      </c>
      <c r="AE61" s="90">
        <v>0</v>
      </c>
    </row>
    <row r="62" spans="4:31" x14ac:dyDescent="0.2">
      <c r="D62" s="89">
        <v>42446</v>
      </c>
      <c r="E62" s="89">
        <v>42452</v>
      </c>
      <c r="F62" s="90">
        <v>8355</v>
      </c>
      <c r="G62" s="90" t="s">
        <v>225</v>
      </c>
      <c r="H62" s="90" t="s">
        <v>163</v>
      </c>
      <c r="I62" s="90" t="s">
        <v>124</v>
      </c>
      <c r="J62" s="90" t="s">
        <v>164</v>
      </c>
      <c r="K62" s="90" t="s">
        <v>165</v>
      </c>
      <c r="L62" s="90" t="s">
        <v>125</v>
      </c>
      <c r="M62" s="90" t="s">
        <v>125</v>
      </c>
      <c r="N62" s="92">
        <v>1000</v>
      </c>
      <c r="O62" s="90">
        <v>872</v>
      </c>
      <c r="P62" s="90">
        <v>981</v>
      </c>
      <c r="Q62" s="90">
        <v>79</v>
      </c>
      <c r="R62" s="90">
        <v>0</v>
      </c>
      <c r="S62" s="90" t="s">
        <v>125</v>
      </c>
      <c r="T62" s="92">
        <v>873060</v>
      </c>
      <c r="U62" s="90" t="s">
        <v>125</v>
      </c>
      <c r="V62" s="90">
        <v>0</v>
      </c>
      <c r="W62" s="90">
        <v>0</v>
      </c>
      <c r="X62" s="90">
        <v>0</v>
      </c>
      <c r="Y62" s="90">
        <v>0</v>
      </c>
      <c r="Z62" s="90">
        <v>0</v>
      </c>
      <c r="AA62" s="90">
        <v>0</v>
      </c>
      <c r="AB62" s="90">
        <v>0</v>
      </c>
      <c r="AC62" s="90">
        <v>0</v>
      </c>
      <c r="AD62" s="90">
        <v>0</v>
      </c>
      <c r="AE62" s="90">
        <v>0</v>
      </c>
    </row>
    <row r="63" spans="4:31" x14ac:dyDescent="0.2">
      <c r="D63" s="89">
        <v>42446</v>
      </c>
      <c r="E63" s="89">
        <v>42452</v>
      </c>
      <c r="F63" s="90">
        <v>9616</v>
      </c>
      <c r="G63" s="90" t="s">
        <v>123</v>
      </c>
      <c r="H63" s="90" t="s">
        <v>163</v>
      </c>
      <c r="I63" s="90" t="s">
        <v>124</v>
      </c>
      <c r="J63" s="90" t="s">
        <v>164</v>
      </c>
      <c r="K63" s="90" t="s">
        <v>126</v>
      </c>
      <c r="L63" s="90" t="s">
        <v>125</v>
      </c>
      <c r="M63" s="90" t="s">
        <v>125</v>
      </c>
      <c r="N63" s="90">
        <v>100</v>
      </c>
      <c r="O63" s="91">
        <v>9060</v>
      </c>
      <c r="P63" s="92">
        <v>1019</v>
      </c>
      <c r="Q63" s="90">
        <v>81</v>
      </c>
      <c r="R63" s="90">
        <v>0</v>
      </c>
      <c r="S63" s="90" t="s">
        <v>166</v>
      </c>
      <c r="T63" s="92">
        <v>904900</v>
      </c>
      <c r="U63" s="90" t="s">
        <v>125</v>
      </c>
      <c r="V63" s="90">
        <v>0</v>
      </c>
      <c r="W63" s="90">
        <v>0</v>
      </c>
      <c r="X63" s="90">
        <v>0</v>
      </c>
      <c r="Y63" s="90">
        <v>0</v>
      </c>
      <c r="Z63" s="90">
        <v>0</v>
      </c>
      <c r="AA63" s="90">
        <v>0</v>
      </c>
      <c r="AB63" s="90">
        <v>0</v>
      </c>
      <c r="AC63" s="90">
        <v>0</v>
      </c>
      <c r="AD63" s="90">
        <v>0</v>
      </c>
      <c r="AE63" s="90">
        <v>0</v>
      </c>
    </row>
    <row r="64" spans="4:31" x14ac:dyDescent="0.2">
      <c r="D64" s="89">
        <v>42457</v>
      </c>
      <c r="E64" s="89">
        <v>42460</v>
      </c>
      <c r="F64" s="90">
        <v>5411</v>
      </c>
      <c r="G64" s="90" t="s">
        <v>129</v>
      </c>
      <c r="H64" s="90" t="s">
        <v>163</v>
      </c>
      <c r="I64" s="90" t="s">
        <v>124</v>
      </c>
      <c r="J64" s="90" t="s">
        <v>164</v>
      </c>
      <c r="K64" s="90" t="s">
        <v>165</v>
      </c>
      <c r="L64" s="90" t="s">
        <v>125</v>
      </c>
      <c r="M64" s="90" t="s">
        <v>125</v>
      </c>
      <c r="N64" s="90">
        <v>400</v>
      </c>
      <c r="O64" s="91">
        <v>1556</v>
      </c>
      <c r="P64" s="90">
        <v>648</v>
      </c>
      <c r="Q64" s="90">
        <v>50</v>
      </c>
      <c r="R64" s="90">
        <v>0</v>
      </c>
      <c r="S64" s="90" t="s">
        <v>125</v>
      </c>
      <c r="T64" s="92">
        <v>623098</v>
      </c>
      <c r="U64" s="90" t="s">
        <v>125</v>
      </c>
      <c r="V64" s="90">
        <v>0</v>
      </c>
      <c r="W64" s="90">
        <v>0</v>
      </c>
      <c r="X64" s="90">
        <v>0</v>
      </c>
      <c r="Y64" s="90">
        <v>0</v>
      </c>
      <c r="Z64" s="90">
        <v>0</v>
      </c>
      <c r="AA64" s="90">
        <v>0</v>
      </c>
      <c r="AB64" s="90">
        <v>0</v>
      </c>
      <c r="AC64" s="90">
        <v>0</v>
      </c>
      <c r="AD64" s="90">
        <v>0</v>
      </c>
      <c r="AE64" s="90">
        <v>0</v>
      </c>
    </row>
    <row r="65" spans="4:31" x14ac:dyDescent="0.2">
      <c r="D65" s="89">
        <v>42457</v>
      </c>
      <c r="E65" s="89">
        <v>42460</v>
      </c>
      <c r="F65" s="90">
        <v>5411</v>
      </c>
      <c r="G65" s="90" t="s">
        <v>129</v>
      </c>
      <c r="H65" s="90" t="s">
        <v>163</v>
      </c>
      <c r="I65" s="90" t="s">
        <v>124</v>
      </c>
      <c r="J65" s="90" t="s">
        <v>164</v>
      </c>
      <c r="K65" s="90" t="s">
        <v>126</v>
      </c>
      <c r="L65" s="90" t="s">
        <v>125</v>
      </c>
      <c r="M65" s="90" t="s">
        <v>125</v>
      </c>
      <c r="N65" s="90">
        <v>400</v>
      </c>
      <c r="O65" s="91">
        <v>1571</v>
      </c>
      <c r="P65" s="90">
        <v>0</v>
      </c>
      <c r="Q65" s="90">
        <v>0</v>
      </c>
      <c r="R65" s="90">
        <v>0</v>
      </c>
      <c r="S65" s="90" t="s">
        <v>166</v>
      </c>
      <c r="T65" s="92">
        <v>628400</v>
      </c>
      <c r="U65" s="90" t="s">
        <v>125</v>
      </c>
      <c r="V65" s="90">
        <v>0</v>
      </c>
      <c r="W65" s="90">
        <v>0</v>
      </c>
      <c r="X65" s="90">
        <v>0</v>
      </c>
      <c r="Y65" s="90">
        <v>0</v>
      </c>
      <c r="Z65" s="90">
        <v>0</v>
      </c>
      <c r="AA65" s="90">
        <v>0</v>
      </c>
      <c r="AB65" s="90">
        <v>0</v>
      </c>
      <c r="AC65" s="90">
        <v>0</v>
      </c>
      <c r="AD65" s="90">
        <v>0</v>
      </c>
      <c r="AE65" s="90">
        <v>0</v>
      </c>
    </row>
    <row r="66" spans="4:31" x14ac:dyDescent="0.2">
      <c r="D66" s="89">
        <v>42457</v>
      </c>
      <c r="E66" s="89">
        <v>42460</v>
      </c>
      <c r="F66" s="90">
        <v>6752</v>
      </c>
      <c r="G66" s="90" t="s">
        <v>132</v>
      </c>
      <c r="H66" s="90" t="s">
        <v>163</v>
      </c>
      <c r="I66" s="90" t="s">
        <v>124</v>
      </c>
      <c r="J66" s="90" t="s">
        <v>164</v>
      </c>
      <c r="K66" s="90" t="s">
        <v>165</v>
      </c>
      <c r="L66" s="90" t="s">
        <v>125</v>
      </c>
      <c r="M66" s="90" t="s">
        <v>125</v>
      </c>
      <c r="N66" s="90">
        <v>400</v>
      </c>
      <c r="O66" s="91">
        <v>1001</v>
      </c>
      <c r="P66" s="90">
        <v>419</v>
      </c>
      <c r="Q66" s="90">
        <v>36</v>
      </c>
      <c r="R66" s="90">
        <v>0</v>
      </c>
      <c r="S66" s="90" t="s">
        <v>125</v>
      </c>
      <c r="T66" s="92">
        <v>400855</v>
      </c>
      <c r="U66" s="90" t="s">
        <v>125</v>
      </c>
      <c r="V66" s="90">
        <v>0</v>
      </c>
      <c r="W66" s="90">
        <v>0</v>
      </c>
      <c r="X66" s="90">
        <v>0</v>
      </c>
      <c r="Y66" s="90">
        <v>0</v>
      </c>
      <c r="Z66" s="90">
        <v>0</v>
      </c>
      <c r="AA66" s="90">
        <v>0</v>
      </c>
      <c r="AB66" s="90">
        <v>0</v>
      </c>
      <c r="AC66" s="90">
        <v>0</v>
      </c>
      <c r="AD66" s="90">
        <v>0</v>
      </c>
      <c r="AE66" s="90">
        <v>0</v>
      </c>
    </row>
    <row r="67" spans="4:31" x14ac:dyDescent="0.2">
      <c r="D67" s="89">
        <v>42457</v>
      </c>
      <c r="E67" s="89">
        <v>42460</v>
      </c>
      <c r="F67" s="90">
        <v>6752</v>
      </c>
      <c r="G67" s="90" t="s">
        <v>132</v>
      </c>
      <c r="H67" s="90" t="s">
        <v>163</v>
      </c>
      <c r="I67" s="90" t="s">
        <v>124</v>
      </c>
      <c r="J67" s="90" t="s">
        <v>164</v>
      </c>
      <c r="K67" s="90" t="s">
        <v>126</v>
      </c>
      <c r="L67" s="90" t="s">
        <v>125</v>
      </c>
      <c r="M67" s="90" t="s">
        <v>125</v>
      </c>
      <c r="N67" s="90">
        <v>400</v>
      </c>
      <c r="O67" s="91">
        <v>1006</v>
      </c>
      <c r="P67" s="90">
        <v>0</v>
      </c>
      <c r="Q67" s="90">
        <v>0</v>
      </c>
      <c r="R67" s="90">
        <v>0</v>
      </c>
      <c r="S67" s="90" t="s">
        <v>166</v>
      </c>
      <c r="T67" s="92">
        <v>402400</v>
      </c>
      <c r="U67" s="90" t="s">
        <v>125</v>
      </c>
      <c r="V67" s="90">
        <v>0</v>
      </c>
      <c r="W67" s="90">
        <v>0</v>
      </c>
      <c r="X67" s="90">
        <v>0</v>
      </c>
      <c r="Y67" s="90">
        <v>0</v>
      </c>
      <c r="Z67" s="90">
        <v>0</v>
      </c>
      <c r="AA67" s="90">
        <v>0</v>
      </c>
      <c r="AB67" s="90">
        <v>0</v>
      </c>
      <c r="AC67" s="90">
        <v>0</v>
      </c>
      <c r="AD67" s="90">
        <v>0</v>
      </c>
      <c r="AE67" s="90">
        <v>0</v>
      </c>
    </row>
    <row r="68" spans="4:31" x14ac:dyDescent="0.2">
      <c r="D68" s="89">
        <v>42457</v>
      </c>
      <c r="E68" s="89">
        <v>42460</v>
      </c>
      <c r="F68" s="90">
        <v>7282</v>
      </c>
      <c r="G68" s="90" t="s">
        <v>224</v>
      </c>
      <c r="H68" s="90" t="s">
        <v>163</v>
      </c>
      <c r="I68" s="90" t="s">
        <v>124</v>
      </c>
      <c r="J68" s="90" t="s">
        <v>164</v>
      </c>
      <c r="K68" s="90" t="s">
        <v>126</v>
      </c>
      <c r="L68" s="90" t="s">
        <v>125</v>
      </c>
      <c r="M68" s="90" t="s">
        <v>125</v>
      </c>
      <c r="N68" s="90">
        <v>400</v>
      </c>
      <c r="O68" s="91">
        <v>2237</v>
      </c>
      <c r="P68" s="90">
        <v>933</v>
      </c>
      <c r="Q68" s="90">
        <v>74</v>
      </c>
      <c r="R68" s="90">
        <v>0</v>
      </c>
      <c r="S68" s="90" t="s">
        <v>166</v>
      </c>
      <c r="T68" s="92">
        <v>893793</v>
      </c>
      <c r="U68" s="90" t="s">
        <v>125</v>
      </c>
      <c r="V68" s="90">
        <v>0</v>
      </c>
      <c r="W68" s="90">
        <v>0</v>
      </c>
      <c r="X68" s="90">
        <v>0</v>
      </c>
      <c r="Y68" s="90">
        <v>0</v>
      </c>
      <c r="Z68" s="90">
        <v>0</v>
      </c>
      <c r="AA68" s="90">
        <v>0</v>
      </c>
      <c r="AB68" s="90">
        <v>0</v>
      </c>
      <c r="AC68" s="90">
        <v>0</v>
      </c>
      <c r="AD68" s="90">
        <v>0</v>
      </c>
      <c r="AE68" s="90">
        <v>0</v>
      </c>
    </row>
    <row r="69" spans="4:31" x14ac:dyDescent="0.2">
      <c r="D69" s="89">
        <v>42458</v>
      </c>
      <c r="E69" s="89">
        <v>42461</v>
      </c>
      <c r="F69" s="90">
        <v>1808</v>
      </c>
      <c r="G69" s="90" t="s">
        <v>138</v>
      </c>
      <c r="H69" s="90" t="s">
        <v>163</v>
      </c>
      <c r="I69" s="90" t="s">
        <v>124</v>
      </c>
      <c r="J69" s="90" t="s">
        <v>164</v>
      </c>
      <c r="K69" s="90" t="s">
        <v>165</v>
      </c>
      <c r="L69" s="90" t="s">
        <v>125</v>
      </c>
      <c r="M69" s="90" t="s">
        <v>125</v>
      </c>
      <c r="N69" s="90">
        <v>500</v>
      </c>
      <c r="O69" s="91">
        <v>1080</v>
      </c>
      <c r="P69" s="90">
        <v>909</v>
      </c>
      <c r="Q69" s="90">
        <v>72</v>
      </c>
      <c r="R69" s="90">
        <v>0</v>
      </c>
      <c r="S69" s="90" t="s">
        <v>125</v>
      </c>
      <c r="T69" s="92">
        <v>540981</v>
      </c>
      <c r="U69" s="90" t="s">
        <v>125</v>
      </c>
      <c r="V69" s="90">
        <v>0</v>
      </c>
      <c r="W69" s="90">
        <v>0</v>
      </c>
      <c r="X69" s="90">
        <v>0</v>
      </c>
      <c r="Y69" s="90">
        <v>0</v>
      </c>
      <c r="Z69" s="90">
        <v>0</v>
      </c>
      <c r="AA69" s="90">
        <v>0</v>
      </c>
      <c r="AB69" s="90">
        <v>0</v>
      </c>
      <c r="AC69" s="90">
        <v>0</v>
      </c>
      <c r="AD69" s="90">
        <v>0</v>
      </c>
      <c r="AE69" s="90">
        <v>0</v>
      </c>
    </row>
    <row r="70" spans="4:31" x14ac:dyDescent="0.2">
      <c r="D70" s="89">
        <v>42458</v>
      </c>
      <c r="E70" s="89">
        <v>42461</v>
      </c>
      <c r="F70" s="90">
        <v>1808</v>
      </c>
      <c r="G70" s="90" t="s">
        <v>138</v>
      </c>
      <c r="H70" s="90" t="s">
        <v>163</v>
      </c>
      <c r="I70" s="90" t="s">
        <v>124</v>
      </c>
      <c r="J70" s="90" t="s">
        <v>164</v>
      </c>
      <c r="K70" s="90" t="s">
        <v>126</v>
      </c>
      <c r="L70" s="90" t="s">
        <v>125</v>
      </c>
      <c r="M70" s="90" t="s">
        <v>125</v>
      </c>
      <c r="N70" s="90">
        <v>500</v>
      </c>
      <c r="O70" s="91">
        <v>1102</v>
      </c>
      <c r="P70" s="90">
        <v>0</v>
      </c>
      <c r="Q70" s="90">
        <v>0</v>
      </c>
      <c r="R70" s="90">
        <v>0</v>
      </c>
      <c r="S70" s="90" t="s">
        <v>166</v>
      </c>
      <c r="T70" s="92">
        <v>551000</v>
      </c>
      <c r="U70" s="90" t="s">
        <v>125</v>
      </c>
      <c r="V70" s="90">
        <v>0</v>
      </c>
      <c r="W70" s="90">
        <v>0</v>
      </c>
      <c r="X70" s="90">
        <v>0</v>
      </c>
      <c r="Y70" s="90">
        <v>0</v>
      </c>
      <c r="Z70" s="90">
        <v>0</v>
      </c>
      <c r="AA70" s="90">
        <v>0</v>
      </c>
      <c r="AB70" s="90">
        <v>0</v>
      </c>
      <c r="AC70" s="90">
        <v>0</v>
      </c>
      <c r="AD70" s="90">
        <v>0</v>
      </c>
      <c r="AE70" s="90">
        <v>0</v>
      </c>
    </row>
    <row r="71" spans="4:31" x14ac:dyDescent="0.2">
      <c r="D71" s="89">
        <v>42458</v>
      </c>
      <c r="E71" s="89">
        <v>42461</v>
      </c>
      <c r="F71" s="90">
        <v>9202</v>
      </c>
      <c r="G71" s="90" t="s">
        <v>226</v>
      </c>
      <c r="H71" s="90" t="s">
        <v>163</v>
      </c>
      <c r="I71" s="90" t="s">
        <v>124</v>
      </c>
      <c r="J71" s="90" t="s">
        <v>164</v>
      </c>
      <c r="K71" s="90" t="s">
        <v>165</v>
      </c>
      <c r="L71" s="90" t="s">
        <v>125</v>
      </c>
      <c r="M71" s="90" t="s">
        <v>125</v>
      </c>
      <c r="N71" s="92">
        <v>2000</v>
      </c>
      <c r="O71" s="90">
        <v>324</v>
      </c>
      <c r="P71" s="92">
        <v>1091</v>
      </c>
      <c r="Q71" s="90">
        <v>88</v>
      </c>
      <c r="R71" s="90">
        <v>0</v>
      </c>
      <c r="S71" s="90" t="s">
        <v>125</v>
      </c>
      <c r="T71" s="92">
        <v>649179</v>
      </c>
      <c r="U71" s="90" t="s">
        <v>125</v>
      </c>
      <c r="V71" s="90">
        <v>0</v>
      </c>
      <c r="W71" s="90">
        <v>0</v>
      </c>
      <c r="X71" s="90">
        <v>0</v>
      </c>
      <c r="Y71" s="90">
        <v>0</v>
      </c>
      <c r="Z71" s="90">
        <v>0</v>
      </c>
      <c r="AA71" s="90">
        <v>0</v>
      </c>
      <c r="AB71" s="90">
        <v>0</v>
      </c>
      <c r="AC71" s="90">
        <v>0</v>
      </c>
      <c r="AD71" s="90">
        <v>0</v>
      </c>
      <c r="AE71" s="90">
        <v>0</v>
      </c>
    </row>
    <row r="72" spans="4:31" x14ac:dyDescent="0.2">
      <c r="D72" s="89">
        <v>42460</v>
      </c>
      <c r="E72" s="89">
        <v>42465</v>
      </c>
      <c r="F72" s="90">
        <v>6752</v>
      </c>
      <c r="G72" s="90" t="s">
        <v>132</v>
      </c>
      <c r="H72" s="90" t="s">
        <v>163</v>
      </c>
      <c r="I72" s="90" t="s">
        <v>124</v>
      </c>
      <c r="J72" s="90" t="s">
        <v>164</v>
      </c>
      <c r="K72" s="90" t="s">
        <v>165</v>
      </c>
      <c r="L72" s="90" t="s">
        <v>125</v>
      </c>
      <c r="M72" s="90" t="s">
        <v>125</v>
      </c>
      <c r="N72" s="90">
        <v>300</v>
      </c>
      <c r="O72" s="91">
        <v>1048</v>
      </c>
      <c r="P72" s="90">
        <v>429</v>
      </c>
      <c r="Q72" s="90">
        <v>34</v>
      </c>
      <c r="R72" s="90">
        <v>0</v>
      </c>
      <c r="S72" s="90" t="s">
        <v>125</v>
      </c>
      <c r="T72" s="92">
        <v>314863</v>
      </c>
      <c r="U72" s="90" t="s">
        <v>125</v>
      </c>
      <c r="V72" s="90">
        <v>0</v>
      </c>
      <c r="W72" s="90">
        <v>0</v>
      </c>
      <c r="X72" s="90">
        <v>0</v>
      </c>
      <c r="Y72" s="90">
        <v>0</v>
      </c>
      <c r="Z72" s="90">
        <v>0</v>
      </c>
      <c r="AA72" s="90">
        <v>0</v>
      </c>
      <c r="AB72" s="90">
        <v>0</v>
      </c>
      <c r="AC72" s="90">
        <v>0</v>
      </c>
      <c r="AD72" s="90">
        <v>0</v>
      </c>
      <c r="AE72" s="90"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Data2">
                <anchor moveWithCells="1" sizeWithCells="1">
                  <from>
                    <xdr:col>32</xdr:col>
                    <xdr:colOff>190500</xdr:colOff>
                    <xdr:row>6</xdr:row>
                    <xdr:rowOff>0</xdr:rowOff>
                  </from>
                  <to>
                    <xdr:col>34</xdr:col>
                    <xdr:colOff>63500</xdr:colOff>
                    <xdr:row>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0" tint="-0.249977111117893"/>
  </sheetPr>
  <dimension ref="A1:B18"/>
  <sheetViews>
    <sheetView workbookViewId="0">
      <pane xSplit="1" ySplit="3" topLeftCell="B4" activePane="bottomRight" state="frozen"/>
      <selection activeCell="I43" sqref="I43"/>
      <selection pane="topRight" activeCell="I43" sqref="I43"/>
      <selection pane="bottomLeft" activeCell="I43" sqref="I43"/>
      <selection pane="bottomRight"/>
    </sheetView>
  </sheetViews>
  <sheetFormatPr defaultRowHeight="13" x14ac:dyDescent="0.2"/>
  <cols>
    <col min="1" max="1" width="14.6328125" bestFit="1" customWidth="1"/>
    <col min="2" max="2" width="19.54296875" bestFit="1" customWidth="1"/>
    <col min="3" max="4" width="7.90625" bestFit="1" customWidth="1"/>
    <col min="5" max="8" width="6.7265625" bestFit="1" customWidth="1"/>
    <col min="9" max="9" width="7.90625" bestFit="1" customWidth="1"/>
    <col min="10" max="10" width="5.453125" bestFit="1" customWidth="1"/>
    <col min="11" max="11" width="6.7265625" bestFit="1" customWidth="1"/>
    <col min="12" max="14" width="7.90625" bestFit="1" customWidth="1"/>
    <col min="15" max="15" width="6.7265625" bestFit="1" customWidth="1"/>
    <col min="16" max="17" width="7.90625" bestFit="1" customWidth="1"/>
    <col min="18" max="18" width="6.7265625" bestFit="1" customWidth="1"/>
    <col min="19" max="19" width="7.90625" bestFit="1" customWidth="1"/>
  </cols>
  <sheetData>
    <row r="1" spans="1:2" x14ac:dyDescent="0.2">
      <c r="A1" s="109" t="s">
        <v>169</v>
      </c>
      <c r="B1" s="54">
        <v>2016</v>
      </c>
    </row>
    <row r="3" spans="1:2" x14ac:dyDescent="0.2">
      <c r="A3" s="109" t="s">
        <v>111</v>
      </c>
      <c r="B3" t="s">
        <v>170</v>
      </c>
    </row>
    <row r="4" spans="1:2" x14ac:dyDescent="0.2">
      <c r="A4" s="54">
        <v>2</v>
      </c>
      <c r="B4" s="56"/>
    </row>
    <row r="5" spans="1:2" x14ac:dyDescent="0.2">
      <c r="A5" s="96">
        <v>42401</v>
      </c>
      <c r="B5" s="56">
        <v>16686</v>
      </c>
    </row>
    <row r="6" spans="1:2" x14ac:dyDescent="0.2">
      <c r="A6" s="96">
        <v>42402</v>
      </c>
      <c r="B6" s="56">
        <v>-1050</v>
      </c>
    </row>
    <row r="7" spans="1:2" x14ac:dyDescent="0.2">
      <c r="A7" s="96">
        <v>42404</v>
      </c>
      <c r="B7" s="56">
        <v>6764</v>
      </c>
    </row>
    <row r="8" spans="1:2" x14ac:dyDescent="0.2">
      <c r="A8" s="96">
        <v>42405</v>
      </c>
      <c r="B8" s="56">
        <v>15372</v>
      </c>
    </row>
    <row r="9" spans="1:2" x14ac:dyDescent="0.2">
      <c r="A9" s="96">
        <v>42410</v>
      </c>
      <c r="B9" s="56">
        <v>24148</v>
      </c>
    </row>
    <row r="10" spans="1:2" x14ac:dyDescent="0.2">
      <c r="A10" s="96">
        <v>42415</v>
      </c>
      <c r="B10" s="56">
        <v>15074</v>
      </c>
    </row>
    <row r="11" spans="1:2" x14ac:dyDescent="0.2">
      <c r="A11" s="96">
        <v>42416</v>
      </c>
      <c r="B11" s="56">
        <v>1937</v>
      </c>
    </row>
    <row r="12" spans="1:2" x14ac:dyDescent="0.2">
      <c r="A12" s="96">
        <v>42418</v>
      </c>
      <c r="B12" s="56">
        <v>13326</v>
      </c>
    </row>
    <row r="13" spans="1:2" x14ac:dyDescent="0.2">
      <c r="A13" s="96">
        <v>42419</v>
      </c>
      <c r="B13" s="56">
        <v>923</v>
      </c>
    </row>
    <row r="14" spans="1:2" x14ac:dyDescent="0.2">
      <c r="A14" s="96">
        <v>42422</v>
      </c>
      <c r="B14" s="56">
        <v>21179</v>
      </c>
    </row>
    <row r="15" spans="1:2" x14ac:dyDescent="0.2">
      <c r="A15" s="96">
        <v>42425</v>
      </c>
      <c r="B15" s="56">
        <v>11806</v>
      </c>
    </row>
    <row r="16" spans="1:2" x14ac:dyDescent="0.2">
      <c r="A16" s="96">
        <v>42429</v>
      </c>
      <c r="B16" s="56">
        <v>7375</v>
      </c>
    </row>
    <row r="17" spans="1:2" x14ac:dyDescent="0.2">
      <c r="A17" s="54" t="s">
        <v>171</v>
      </c>
      <c r="B17" s="56">
        <v>133540</v>
      </c>
    </row>
    <row r="18" spans="1:2" x14ac:dyDescent="0.2">
      <c r="A18" s="54" t="s">
        <v>172</v>
      </c>
      <c r="B18" s="97">
        <v>133540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0" tint="-0.249977111117893"/>
  </sheetPr>
  <dimension ref="A1:D24"/>
  <sheetViews>
    <sheetView workbookViewId="0">
      <pane xSplit="1" ySplit="3" topLeftCell="B4" activePane="bottomRight" state="frozen"/>
      <selection activeCell="I43" sqref="I43"/>
      <selection pane="topRight" activeCell="I43" sqref="I43"/>
      <selection pane="bottomLeft" activeCell="I43" sqref="I43"/>
      <selection pane="bottomRight"/>
    </sheetView>
  </sheetViews>
  <sheetFormatPr defaultRowHeight="13" x14ac:dyDescent="0.2"/>
  <cols>
    <col min="1" max="1" width="14.6328125" bestFit="1" customWidth="1"/>
    <col min="2" max="2" width="20.26953125" bestFit="1" customWidth="1"/>
    <col min="3" max="4" width="18.1796875" bestFit="1" customWidth="1"/>
  </cols>
  <sheetData>
    <row r="1" spans="1:4" x14ac:dyDescent="0.2">
      <c r="A1" s="109" t="s">
        <v>169</v>
      </c>
      <c r="B1" s="54">
        <v>2016</v>
      </c>
    </row>
    <row r="3" spans="1:4" x14ac:dyDescent="0.2">
      <c r="A3" s="109" t="s">
        <v>111</v>
      </c>
      <c r="B3" t="s">
        <v>173</v>
      </c>
      <c r="C3" t="s">
        <v>174</v>
      </c>
      <c r="D3" t="s">
        <v>175</v>
      </c>
    </row>
    <row r="4" spans="1:4" x14ac:dyDescent="0.2">
      <c r="A4" s="54">
        <v>2</v>
      </c>
      <c r="B4" s="56"/>
      <c r="C4" s="56"/>
      <c r="D4" s="56"/>
    </row>
    <row r="5" spans="1:4" x14ac:dyDescent="0.2">
      <c r="A5" s="96">
        <v>42401</v>
      </c>
      <c r="B5" s="56">
        <v>1914000</v>
      </c>
      <c r="C5" s="56">
        <v>1218</v>
      </c>
      <c r="D5" s="56">
        <v>96</v>
      </c>
    </row>
    <row r="6" spans="1:4" x14ac:dyDescent="0.2">
      <c r="A6" s="96">
        <v>42402</v>
      </c>
      <c r="B6" s="56">
        <v>2239000</v>
      </c>
      <c r="C6" s="56">
        <v>1900</v>
      </c>
      <c r="D6" s="56">
        <v>150</v>
      </c>
    </row>
    <row r="7" spans="1:4" x14ac:dyDescent="0.2">
      <c r="A7" s="96">
        <v>42404</v>
      </c>
      <c r="B7" s="56">
        <v>880500</v>
      </c>
      <c r="C7" s="56">
        <v>682</v>
      </c>
      <c r="D7" s="56">
        <v>54</v>
      </c>
    </row>
    <row r="8" spans="1:4" x14ac:dyDescent="0.2">
      <c r="A8" s="96">
        <v>42405</v>
      </c>
      <c r="B8" s="56">
        <v>2178000</v>
      </c>
      <c r="C8" s="56">
        <v>2436</v>
      </c>
      <c r="D8" s="56">
        <v>192</v>
      </c>
    </row>
    <row r="9" spans="1:4" x14ac:dyDescent="0.2">
      <c r="A9" s="96">
        <v>42408</v>
      </c>
      <c r="B9" s="56">
        <v>484463</v>
      </c>
      <c r="C9" s="56">
        <v>429</v>
      </c>
      <c r="D9" s="56">
        <v>34</v>
      </c>
    </row>
    <row r="10" spans="1:4" x14ac:dyDescent="0.2">
      <c r="A10" s="96">
        <v>42409</v>
      </c>
      <c r="B10" s="56">
        <v>597926</v>
      </c>
      <c r="C10" s="56">
        <v>858</v>
      </c>
      <c r="D10" s="56">
        <v>68</v>
      </c>
    </row>
    <row r="11" spans="1:4" x14ac:dyDescent="0.2">
      <c r="A11" s="96">
        <v>42410</v>
      </c>
      <c r="B11" s="56">
        <v>622074</v>
      </c>
      <c r="C11" s="56">
        <v>858</v>
      </c>
      <c r="D11" s="56">
        <v>68</v>
      </c>
    </row>
    <row r="12" spans="1:4" x14ac:dyDescent="0.2">
      <c r="A12" s="96">
        <v>42415</v>
      </c>
      <c r="B12" s="56">
        <v>1564926</v>
      </c>
      <c r="C12" s="56">
        <v>858</v>
      </c>
      <c r="D12" s="56">
        <v>68</v>
      </c>
    </row>
    <row r="13" spans="1:4" x14ac:dyDescent="0.2">
      <c r="A13" s="96">
        <v>42416</v>
      </c>
      <c r="B13" s="56">
        <v>722863</v>
      </c>
      <c r="C13" s="56">
        <v>429</v>
      </c>
      <c r="D13" s="56">
        <v>34</v>
      </c>
    </row>
    <row r="14" spans="1:4" x14ac:dyDescent="0.2">
      <c r="A14" s="96">
        <v>42417</v>
      </c>
      <c r="B14" s="56">
        <v>850926</v>
      </c>
      <c r="C14" s="56">
        <v>858</v>
      </c>
      <c r="D14" s="56">
        <v>68</v>
      </c>
    </row>
    <row r="15" spans="1:4" x14ac:dyDescent="0.2">
      <c r="A15" s="96">
        <v>42418</v>
      </c>
      <c r="B15" s="56">
        <v>1067064</v>
      </c>
      <c r="C15" s="56">
        <v>2000</v>
      </c>
      <c r="D15" s="56">
        <v>160</v>
      </c>
    </row>
    <row r="16" spans="1:4" x14ac:dyDescent="0.2">
      <c r="A16" s="96">
        <v>42419</v>
      </c>
      <c r="B16" s="56">
        <v>711396</v>
      </c>
      <c r="C16" s="56">
        <v>858</v>
      </c>
      <c r="D16" s="56">
        <v>68</v>
      </c>
    </row>
    <row r="17" spans="1:4" x14ac:dyDescent="0.2">
      <c r="A17" s="96">
        <v>42422</v>
      </c>
      <c r="B17" s="56">
        <v>2225520</v>
      </c>
      <c r="C17" s="56">
        <v>2000</v>
      </c>
      <c r="D17" s="56">
        <v>160</v>
      </c>
    </row>
    <row r="18" spans="1:4" x14ac:dyDescent="0.2">
      <c r="A18" s="96">
        <v>42423</v>
      </c>
      <c r="B18" s="56">
        <v>439163</v>
      </c>
      <c r="C18" s="56">
        <v>429</v>
      </c>
      <c r="D18" s="56">
        <v>34</v>
      </c>
    </row>
    <row r="19" spans="1:4" x14ac:dyDescent="0.2">
      <c r="A19" s="96">
        <v>42424</v>
      </c>
      <c r="B19" s="56">
        <v>558926</v>
      </c>
      <c r="C19" s="56">
        <v>858</v>
      </c>
      <c r="D19" s="56">
        <v>68</v>
      </c>
    </row>
    <row r="20" spans="1:4" x14ac:dyDescent="0.2">
      <c r="A20" s="96">
        <v>42425</v>
      </c>
      <c r="B20" s="56">
        <v>1788568</v>
      </c>
      <c r="C20" s="56">
        <v>2000</v>
      </c>
      <c r="D20" s="56">
        <v>160</v>
      </c>
    </row>
    <row r="21" spans="1:4" x14ac:dyDescent="0.2">
      <c r="A21" s="96">
        <v>42426</v>
      </c>
      <c r="B21" s="56">
        <v>295063</v>
      </c>
      <c r="C21" s="56">
        <v>429</v>
      </c>
      <c r="D21" s="56">
        <v>34</v>
      </c>
    </row>
    <row r="22" spans="1:4" x14ac:dyDescent="0.2">
      <c r="A22" s="96">
        <v>42429</v>
      </c>
      <c r="B22" s="56">
        <v>1164036</v>
      </c>
      <c r="C22" s="56">
        <v>2000</v>
      </c>
      <c r="D22" s="56">
        <v>160</v>
      </c>
    </row>
    <row r="23" spans="1:4" x14ac:dyDescent="0.2">
      <c r="A23" s="54" t="s">
        <v>171</v>
      </c>
      <c r="B23" s="56">
        <v>20304414</v>
      </c>
      <c r="C23" s="56">
        <v>21100</v>
      </c>
      <c r="D23" s="56">
        <v>1676</v>
      </c>
    </row>
    <row r="24" spans="1:4" x14ac:dyDescent="0.2">
      <c r="A24" s="54" t="s">
        <v>172</v>
      </c>
      <c r="B24" s="97">
        <v>20304414</v>
      </c>
      <c r="C24" s="97">
        <v>21100</v>
      </c>
      <c r="D24" s="97">
        <v>1676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0" tint="-0.249977111117893"/>
  </sheetPr>
  <dimension ref="A1:B18"/>
  <sheetViews>
    <sheetView workbookViewId="0">
      <pane xSplit="1" ySplit="4" topLeftCell="B5" activePane="bottomRight" state="frozen"/>
      <selection activeCell="I43" sqref="I43"/>
      <selection pane="topRight" activeCell="I43" sqref="I43"/>
      <selection pane="bottomLeft" activeCell="I43" sqref="I43"/>
      <selection pane="bottomRight"/>
    </sheetView>
  </sheetViews>
  <sheetFormatPr defaultRowHeight="13" x14ac:dyDescent="0.2"/>
  <cols>
    <col min="1" max="1" width="22.26953125" bestFit="1" customWidth="1"/>
    <col min="2" max="2" width="19.54296875" bestFit="1" customWidth="1"/>
  </cols>
  <sheetData>
    <row r="1" spans="1:2" x14ac:dyDescent="0.2">
      <c r="A1" s="109" t="s">
        <v>169</v>
      </c>
      <c r="B1" s="54">
        <v>2016</v>
      </c>
    </row>
    <row r="2" spans="1:2" x14ac:dyDescent="0.2">
      <c r="A2" s="109" t="s">
        <v>176</v>
      </c>
      <c r="B2" t="s">
        <v>177</v>
      </c>
    </row>
    <row r="4" spans="1:2" x14ac:dyDescent="0.2">
      <c r="A4" s="109" t="s">
        <v>114</v>
      </c>
      <c r="B4" t="s">
        <v>170</v>
      </c>
    </row>
    <row r="5" spans="1:2" x14ac:dyDescent="0.2">
      <c r="A5" s="54" t="s">
        <v>123</v>
      </c>
      <c r="B5" s="56">
        <v>41420</v>
      </c>
    </row>
    <row r="6" spans="1:2" x14ac:dyDescent="0.2">
      <c r="A6" s="54" t="s">
        <v>131</v>
      </c>
      <c r="B6" s="56">
        <v>24148</v>
      </c>
    </row>
    <row r="7" spans="1:2" x14ac:dyDescent="0.2">
      <c r="A7" s="54" t="s">
        <v>135</v>
      </c>
      <c r="B7" s="56">
        <v>20631</v>
      </c>
    </row>
    <row r="8" spans="1:2" x14ac:dyDescent="0.2">
      <c r="A8" s="54" t="s">
        <v>130</v>
      </c>
      <c r="B8" s="56">
        <v>15372</v>
      </c>
    </row>
    <row r="9" spans="1:2" x14ac:dyDescent="0.2">
      <c r="A9" s="54" t="s">
        <v>133</v>
      </c>
      <c r="B9" s="56">
        <v>13326</v>
      </c>
    </row>
    <row r="10" spans="1:2" x14ac:dyDescent="0.2">
      <c r="A10" s="54" t="s">
        <v>138</v>
      </c>
      <c r="B10" s="56">
        <v>7375</v>
      </c>
    </row>
    <row r="11" spans="1:2" x14ac:dyDescent="0.2">
      <c r="A11" s="54" t="s">
        <v>129</v>
      </c>
      <c r="B11" s="56">
        <v>6764</v>
      </c>
    </row>
    <row r="12" spans="1:2" x14ac:dyDescent="0.2">
      <c r="A12" s="54" t="s">
        <v>127</v>
      </c>
      <c r="B12" s="56">
        <v>2686</v>
      </c>
    </row>
    <row r="13" spans="1:2" x14ac:dyDescent="0.2">
      <c r="A13" s="54" t="s">
        <v>132</v>
      </c>
      <c r="B13" s="56">
        <v>1937</v>
      </c>
    </row>
    <row r="14" spans="1:2" x14ac:dyDescent="0.2">
      <c r="A14" s="54" t="s">
        <v>136</v>
      </c>
      <c r="B14" s="56">
        <v>1558</v>
      </c>
    </row>
    <row r="15" spans="1:2" x14ac:dyDescent="0.2">
      <c r="A15" s="54" t="s">
        <v>137</v>
      </c>
      <c r="B15" s="56">
        <v>1136</v>
      </c>
    </row>
    <row r="16" spans="1:2" x14ac:dyDescent="0.2">
      <c r="A16" s="54" t="s">
        <v>134</v>
      </c>
      <c r="B16" s="56">
        <v>923</v>
      </c>
    </row>
    <row r="17" spans="1:2" x14ac:dyDescent="0.2">
      <c r="A17" s="54" t="s">
        <v>128</v>
      </c>
      <c r="B17" s="56">
        <v>-3736</v>
      </c>
    </row>
    <row r="18" spans="1:2" x14ac:dyDescent="0.2">
      <c r="A18" s="54" t="s">
        <v>172</v>
      </c>
      <c r="B18" s="97">
        <v>133540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0" tint="-0.249977111117893"/>
  </sheetPr>
  <dimension ref="A1:D21"/>
  <sheetViews>
    <sheetView workbookViewId="0"/>
  </sheetViews>
  <sheetFormatPr defaultRowHeight="13" x14ac:dyDescent="0.2"/>
  <cols>
    <col min="1" max="1" width="22.26953125" bestFit="1" customWidth="1"/>
    <col min="2" max="2" width="11.54296875" bestFit="1" customWidth="1"/>
    <col min="3" max="3" width="5.6328125" bestFit="1" customWidth="1"/>
    <col min="4" max="4" width="6.6328125" bestFit="1" customWidth="1"/>
    <col min="5" max="5" width="7.90625" bestFit="1" customWidth="1"/>
  </cols>
  <sheetData>
    <row r="1" spans="1:4" x14ac:dyDescent="0.2">
      <c r="A1" s="109" t="s">
        <v>169</v>
      </c>
      <c r="B1" s="54">
        <v>2016</v>
      </c>
    </row>
    <row r="2" spans="1:4" x14ac:dyDescent="0.2">
      <c r="A2" s="109" t="s">
        <v>176</v>
      </c>
      <c r="B2" t="s">
        <v>177</v>
      </c>
    </row>
    <row r="4" spans="1:4" x14ac:dyDescent="0.2">
      <c r="A4" s="109" t="s">
        <v>178</v>
      </c>
      <c r="B4" s="109" t="s">
        <v>143</v>
      </c>
    </row>
    <row r="5" spans="1:4" x14ac:dyDescent="0.2">
      <c r="A5" s="109" t="s">
        <v>114</v>
      </c>
      <c r="B5" t="s">
        <v>165</v>
      </c>
      <c r="C5" t="s">
        <v>126</v>
      </c>
      <c r="D5" t="s">
        <v>172</v>
      </c>
    </row>
    <row r="6" spans="1:4" x14ac:dyDescent="0.2">
      <c r="A6" s="54" t="s">
        <v>130</v>
      </c>
      <c r="B6" s="98">
        <v>2000</v>
      </c>
      <c r="C6" s="98">
        <v>2000</v>
      </c>
      <c r="D6" s="98">
        <v>4000</v>
      </c>
    </row>
    <row r="7" spans="1:4" x14ac:dyDescent="0.2">
      <c r="A7" s="54" t="s">
        <v>133</v>
      </c>
      <c r="B7" s="98">
        <v>2000</v>
      </c>
      <c r="C7" s="98">
        <v>2000</v>
      </c>
      <c r="D7" s="98">
        <v>4000</v>
      </c>
    </row>
    <row r="8" spans="1:4" x14ac:dyDescent="0.2">
      <c r="A8" s="54" t="s">
        <v>135</v>
      </c>
      <c r="B8" s="98">
        <v>2000</v>
      </c>
      <c r="C8" s="98">
        <v>2000</v>
      </c>
      <c r="D8" s="98">
        <v>4000</v>
      </c>
    </row>
    <row r="9" spans="1:4" x14ac:dyDescent="0.2">
      <c r="A9" s="54" t="s">
        <v>167</v>
      </c>
      <c r="B9" s="98">
        <v>2000</v>
      </c>
      <c r="C9" s="98"/>
      <c r="D9" s="98">
        <v>2000</v>
      </c>
    </row>
    <row r="10" spans="1:4" x14ac:dyDescent="0.2">
      <c r="A10" s="54" t="s">
        <v>131</v>
      </c>
      <c r="B10" s="98">
        <v>1000</v>
      </c>
      <c r="C10" s="98">
        <v>1000</v>
      </c>
      <c r="D10" s="98">
        <v>2000</v>
      </c>
    </row>
    <row r="11" spans="1:4" x14ac:dyDescent="0.2">
      <c r="A11" s="54" t="s">
        <v>132</v>
      </c>
      <c r="B11" s="98">
        <v>400</v>
      </c>
      <c r="C11" s="98">
        <v>400</v>
      </c>
      <c r="D11" s="98">
        <v>800</v>
      </c>
    </row>
    <row r="12" spans="1:4" x14ac:dyDescent="0.2">
      <c r="A12" s="54" t="s">
        <v>123</v>
      </c>
      <c r="B12" s="98">
        <v>400</v>
      </c>
      <c r="C12" s="98">
        <v>300</v>
      </c>
      <c r="D12" s="98">
        <v>700</v>
      </c>
    </row>
    <row r="13" spans="1:4" x14ac:dyDescent="0.2">
      <c r="A13" s="54" t="s">
        <v>138</v>
      </c>
      <c r="B13" s="98">
        <v>300</v>
      </c>
      <c r="C13" s="98">
        <v>300</v>
      </c>
      <c r="D13" s="98">
        <v>600</v>
      </c>
    </row>
    <row r="14" spans="1:4" x14ac:dyDescent="0.2">
      <c r="A14" s="54" t="s">
        <v>129</v>
      </c>
      <c r="B14" s="98">
        <v>300</v>
      </c>
      <c r="C14" s="98">
        <v>300</v>
      </c>
      <c r="D14" s="98">
        <v>600</v>
      </c>
    </row>
    <row r="15" spans="1:4" x14ac:dyDescent="0.2">
      <c r="A15" s="54" t="s">
        <v>127</v>
      </c>
      <c r="B15" s="98">
        <v>100</v>
      </c>
      <c r="C15" s="98">
        <v>100</v>
      </c>
      <c r="D15" s="98">
        <v>200</v>
      </c>
    </row>
    <row r="16" spans="1:4" x14ac:dyDescent="0.2">
      <c r="A16" s="54" t="s">
        <v>136</v>
      </c>
      <c r="B16" s="98">
        <v>100</v>
      </c>
      <c r="C16" s="98">
        <v>100</v>
      </c>
      <c r="D16" s="98">
        <v>200</v>
      </c>
    </row>
    <row r="17" spans="1:4" x14ac:dyDescent="0.2">
      <c r="A17" s="54" t="s">
        <v>134</v>
      </c>
      <c r="B17" s="98">
        <v>100</v>
      </c>
      <c r="C17" s="98">
        <v>100</v>
      </c>
      <c r="D17" s="98">
        <v>200</v>
      </c>
    </row>
    <row r="18" spans="1:4" x14ac:dyDescent="0.2">
      <c r="A18" s="54" t="s">
        <v>128</v>
      </c>
      <c r="B18" s="98">
        <v>100</v>
      </c>
      <c r="C18" s="98">
        <v>100</v>
      </c>
      <c r="D18" s="98">
        <v>200</v>
      </c>
    </row>
    <row r="19" spans="1:4" x14ac:dyDescent="0.2">
      <c r="A19" s="54" t="s">
        <v>137</v>
      </c>
      <c r="B19" s="98">
        <v>100</v>
      </c>
      <c r="C19" s="98">
        <v>100</v>
      </c>
      <c r="D19" s="98">
        <v>200</v>
      </c>
    </row>
    <row r="20" spans="1:4" x14ac:dyDescent="0.2">
      <c r="A20" s="54" t="s">
        <v>168</v>
      </c>
      <c r="B20" s="98">
        <v>100</v>
      </c>
      <c r="C20" s="98"/>
      <c r="D20" s="98">
        <v>100</v>
      </c>
    </row>
    <row r="21" spans="1:4" x14ac:dyDescent="0.2">
      <c r="A21" s="54" t="s">
        <v>172</v>
      </c>
      <c r="B21" s="98">
        <v>11000</v>
      </c>
      <c r="C21" s="98">
        <v>8800</v>
      </c>
      <c r="D21" s="98">
        <v>19800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0" tint="-0.249977111117893"/>
  </sheetPr>
  <dimension ref="A1:D8"/>
  <sheetViews>
    <sheetView workbookViewId="0"/>
  </sheetViews>
  <sheetFormatPr defaultRowHeight="13" x14ac:dyDescent="0.2"/>
  <cols>
    <col min="1" max="1" width="19.54296875" bestFit="1" customWidth="1"/>
    <col min="2" max="2" width="12.453125" bestFit="1" customWidth="1"/>
    <col min="4" max="4" width="10.08984375" customWidth="1"/>
  </cols>
  <sheetData>
    <row r="1" spans="1:4" x14ac:dyDescent="0.2">
      <c r="A1" s="109" t="s">
        <v>169</v>
      </c>
      <c r="B1" s="54">
        <v>2016</v>
      </c>
      <c r="C1" s="55" t="s">
        <v>179</v>
      </c>
      <c r="D1" s="99">
        <v>42401</v>
      </c>
    </row>
    <row r="2" spans="1:4" x14ac:dyDescent="0.2">
      <c r="A2" s="109" t="s">
        <v>176</v>
      </c>
      <c r="B2" t="s">
        <v>177</v>
      </c>
      <c r="C2" s="55" t="s">
        <v>180</v>
      </c>
      <c r="D2" s="99">
        <v>42460</v>
      </c>
    </row>
    <row r="3" spans="1:4" x14ac:dyDescent="0.2">
      <c r="C3" s="55" t="s">
        <v>181</v>
      </c>
      <c r="D3" s="100" t="s">
        <v>182</v>
      </c>
    </row>
    <row r="4" spans="1:4" x14ac:dyDescent="0.2">
      <c r="A4" t="s">
        <v>170</v>
      </c>
      <c r="C4">
        <f>D2-D1</f>
        <v>59</v>
      </c>
      <c r="D4" s="101">
        <f>C4-(D2-D1)/7*2</f>
        <v>42.142857142857139</v>
      </c>
    </row>
    <row r="5" spans="1:4" x14ac:dyDescent="0.2">
      <c r="A5" s="56">
        <v>133540</v>
      </c>
      <c r="B5" s="55" t="s">
        <v>183</v>
      </c>
      <c r="C5" s="102">
        <f>A5/C4</f>
        <v>2263.3898305084745</v>
      </c>
      <c r="D5" s="98">
        <f>A5/D4</f>
        <v>3168.7457627118647</v>
      </c>
    </row>
    <row r="6" spans="1:4" x14ac:dyDescent="0.2">
      <c r="C6" s="102"/>
      <c r="D6" s="98"/>
    </row>
    <row r="7" spans="1:4" x14ac:dyDescent="0.2">
      <c r="D7" s="98"/>
    </row>
    <row r="8" spans="1:4" x14ac:dyDescent="0.2">
      <c r="C8" s="102"/>
      <c r="D8" s="98"/>
    </row>
  </sheetData>
  <phoneticPr fontId="2"/>
  <pageMargins left="0.7" right="0.7" top="0.75" bottom="0.75" header="0.3" footer="0.3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0" tint="-0.249977111117893"/>
  </sheetPr>
  <dimension ref="A4:B29"/>
  <sheetViews>
    <sheetView workbookViewId="0"/>
  </sheetViews>
  <sheetFormatPr defaultRowHeight="13" x14ac:dyDescent="0.2"/>
  <cols>
    <col min="1" max="1" width="10.26953125" bestFit="1" customWidth="1"/>
    <col min="2" max="2" width="19.54296875" bestFit="1" customWidth="1"/>
    <col min="3" max="5" width="2.90625" customWidth="1"/>
    <col min="6" max="13" width="4" customWidth="1"/>
    <col min="14" max="14" width="7.26953125" customWidth="1"/>
    <col min="15" max="15" width="5.7265625" customWidth="1"/>
  </cols>
  <sheetData>
    <row r="4" spans="1:2" x14ac:dyDescent="0.2">
      <c r="A4" s="109" t="s">
        <v>111</v>
      </c>
      <c r="B4" t="s">
        <v>170</v>
      </c>
    </row>
    <row r="5" spans="1:2" x14ac:dyDescent="0.2">
      <c r="A5" s="103">
        <v>42401</v>
      </c>
      <c r="B5" s="56">
        <v>16686</v>
      </c>
    </row>
    <row r="6" spans="1:2" x14ac:dyDescent="0.2">
      <c r="A6" s="103">
        <v>42402</v>
      </c>
      <c r="B6" s="56">
        <v>-1050</v>
      </c>
    </row>
    <row r="7" spans="1:2" x14ac:dyDescent="0.2">
      <c r="A7" s="103">
        <v>42404</v>
      </c>
      <c r="B7" s="56">
        <v>6764</v>
      </c>
    </row>
    <row r="8" spans="1:2" x14ac:dyDescent="0.2">
      <c r="A8" s="103">
        <v>42405</v>
      </c>
      <c r="B8" s="56">
        <v>15372</v>
      </c>
    </row>
    <row r="9" spans="1:2" x14ac:dyDescent="0.2">
      <c r="A9" s="103">
        <v>42410</v>
      </c>
      <c r="B9" s="56">
        <v>24148</v>
      </c>
    </row>
    <row r="10" spans="1:2" x14ac:dyDescent="0.2">
      <c r="A10" s="103">
        <v>42415</v>
      </c>
      <c r="B10" s="56">
        <v>15074</v>
      </c>
    </row>
    <row r="11" spans="1:2" x14ac:dyDescent="0.2">
      <c r="A11" s="103">
        <v>42416</v>
      </c>
      <c r="B11" s="56">
        <v>1937</v>
      </c>
    </row>
    <row r="12" spans="1:2" x14ac:dyDescent="0.2">
      <c r="A12" s="103">
        <v>42418</v>
      </c>
      <c r="B12" s="56">
        <v>13326</v>
      </c>
    </row>
    <row r="13" spans="1:2" x14ac:dyDescent="0.2">
      <c r="A13" s="103">
        <v>42419</v>
      </c>
      <c r="B13" s="56">
        <v>923</v>
      </c>
    </row>
    <row r="14" spans="1:2" x14ac:dyDescent="0.2">
      <c r="A14" s="103">
        <v>42422</v>
      </c>
      <c r="B14" s="56">
        <v>21179</v>
      </c>
    </row>
    <row r="15" spans="1:2" x14ac:dyDescent="0.2">
      <c r="A15" s="103">
        <v>42425</v>
      </c>
      <c r="B15" s="56">
        <v>11806</v>
      </c>
    </row>
    <row r="16" spans="1:2" x14ac:dyDescent="0.2">
      <c r="A16" s="103">
        <v>42429</v>
      </c>
      <c r="B16" s="56">
        <v>7375</v>
      </c>
    </row>
    <row r="17" spans="1:2" x14ac:dyDescent="0.2">
      <c r="A17" s="103">
        <v>42430</v>
      </c>
      <c r="B17" s="56">
        <v>4242</v>
      </c>
    </row>
    <row r="18" spans="1:2" x14ac:dyDescent="0.2">
      <c r="A18" s="103">
        <v>42431</v>
      </c>
      <c r="B18" s="56">
        <v>-6394</v>
      </c>
    </row>
    <row r="19" spans="1:2" x14ac:dyDescent="0.2">
      <c r="A19" s="103">
        <v>42432</v>
      </c>
      <c r="B19" s="56">
        <v>4727</v>
      </c>
    </row>
    <row r="20" spans="1:2" x14ac:dyDescent="0.2">
      <c r="A20" s="103">
        <v>42433</v>
      </c>
      <c r="B20" s="56">
        <v>8223</v>
      </c>
    </row>
    <row r="21" spans="1:2" x14ac:dyDescent="0.2">
      <c r="A21" s="103">
        <v>42436</v>
      </c>
      <c r="B21" s="56">
        <v>1074</v>
      </c>
    </row>
    <row r="22" spans="1:2" x14ac:dyDescent="0.2">
      <c r="A22" s="103">
        <v>42437</v>
      </c>
      <c r="B22" s="56">
        <v>4674</v>
      </c>
    </row>
    <row r="23" spans="1:2" x14ac:dyDescent="0.2">
      <c r="A23" s="103">
        <v>42438</v>
      </c>
      <c r="B23" s="56">
        <v>6582</v>
      </c>
    </row>
    <row r="24" spans="1:2" x14ac:dyDescent="0.2">
      <c r="A24" s="103">
        <v>42439</v>
      </c>
      <c r="B24" s="56">
        <v>4966</v>
      </c>
    </row>
    <row r="25" spans="1:2" x14ac:dyDescent="0.2">
      <c r="A25" s="103">
        <v>42440</v>
      </c>
      <c r="B25" s="56">
        <v>11074</v>
      </c>
    </row>
    <row r="26" spans="1:2" x14ac:dyDescent="0.2">
      <c r="A26" s="103">
        <v>42446</v>
      </c>
      <c r="B26" s="56">
        <v>9426</v>
      </c>
    </row>
    <row r="27" spans="1:2" x14ac:dyDescent="0.2">
      <c r="A27" s="103">
        <v>42457</v>
      </c>
      <c r="B27" s="56">
        <v>16551</v>
      </c>
    </row>
    <row r="28" spans="1:2" x14ac:dyDescent="0.2">
      <c r="A28" s="103">
        <v>42458</v>
      </c>
      <c r="B28" s="56">
        <v>10019</v>
      </c>
    </row>
    <row r="29" spans="1:2" x14ac:dyDescent="0.2">
      <c r="A29" s="54" t="s">
        <v>172</v>
      </c>
      <c r="B29" s="97">
        <v>208704</v>
      </c>
    </row>
  </sheetData>
  <phoneticPr fontId="2"/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>
    <tabColor theme="0" tint="-0.249977111117893"/>
  </sheetPr>
  <dimension ref="A1:R20"/>
  <sheetViews>
    <sheetView showGridLines="0" zoomScale="85" zoomScaleNormal="85" workbookViewId="0">
      <selection activeCell="B47" sqref="B47"/>
    </sheetView>
  </sheetViews>
  <sheetFormatPr defaultRowHeight="15" customHeight="1" x14ac:dyDescent="0.2"/>
  <cols>
    <col min="1" max="1" width="7.6328125" customWidth="1"/>
    <col min="2" max="6" width="9" customWidth="1"/>
    <col min="7" max="7" width="10.36328125" customWidth="1"/>
    <col min="8" max="10" width="10.26953125" customWidth="1"/>
    <col min="11" max="11" width="10.6328125" customWidth="1"/>
    <col min="13" max="14" width="10.26953125" customWidth="1"/>
    <col min="15" max="15" width="9" customWidth="1"/>
    <col min="16" max="18" width="10.36328125" customWidth="1"/>
  </cols>
  <sheetData>
    <row r="1" spans="1:18" ht="15" customHeight="1" x14ac:dyDescent="0.2">
      <c r="A1" s="50" t="s">
        <v>85</v>
      </c>
      <c r="B1" s="51">
        <v>0.06</v>
      </c>
      <c r="C1" s="52"/>
      <c r="G1" s="53">
        <v>42461</v>
      </c>
      <c r="H1" s="54" t="s">
        <v>86</v>
      </c>
      <c r="I1" s="55" t="s">
        <v>87</v>
      </c>
      <c r="J1" s="56">
        <f>INDEX(A:R,MATCH(G1,A:A,0),5)+INDEX(A:R,MATCH(G1,A:A,0)-1,12)-平均!A5</f>
        <v>209996</v>
      </c>
      <c r="K1" s="55" t="s">
        <v>88</v>
      </c>
      <c r="L1" s="56">
        <f>INDEX(A:R,MATCH(G1,A:A,0),6)-平均!A5</f>
        <v>248492</v>
      </c>
    </row>
    <row r="2" spans="1:18" ht="15" customHeight="1" x14ac:dyDescent="0.2">
      <c r="A2" s="50" t="s">
        <v>89</v>
      </c>
      <c r="B2" s="57">
        <f>(1+B1)^12</f>
        <v>2.0121964718355518</v>
      </c>
      <c r="C2" s="57"/>
    </row>
    <row r="4" spans="1:18" ht="31.5" customHeight="1" x14ac:dyDescent="0.2">
      <c r="A4" s="58" t="s">
        <v>90</v>
      </c>
      <c r="B4" s="59" t="s">
        <v>91</v>
      </c>
      <c r="C4" s="59" t="s">
        <v>92</v>
      </c>
      <c r="D4" s="60" t="s">
        <v>93</v>
      </c>
      <c r="E4" s="60" t="s">
        <v>94</v>
      </c>
      <c r="F4" s="60" t="s">
        <v>95</v>
      </c>
      <c r="G4" s="60" t="s">
        <v>96</v>
      </c>
      <c r="H4" s="60" t="s">
        <v>97</v>
      </c>
      <c r="I4" s="61" t="s">
        <v>98</v>
      </c>
      <c r="J4" s="61" t="s">
        <v>99</v>
      </c>
      <c r="K4" s="61" t="s">
        <v>100</v>
      </c>
      <c r="L4" s="61" t="s">
        <v>101</v>
      </c>
      <c r="M4" s="61" t="s">
        <v>102</v>
      </c>
      <c r="N4" s="61" t="s">
        <v>103</v>
      </c>
      <c r="O4" s="62" t="s">
        <v>104</v>
      </c>
      <c r="P4" s="62" t="s">
        <v>105</v>
      </c>
      <c r="Q4" s="62" t="s">
        <v>106</v>
      </c>
      <c r="R4" s="62" t="s">
        <v>107</v>
      </c>
    </row>
    <row r="5" spans="1:18" ht="15" customHeight="1" x14ac:dyDescent="0.2">
      <c r="A5" s="63">
        <v>42401</v>
      </c>
      <c r="B5" s="64">
        <v>2000000</v>
      </c>
      <c r="C5" s="65">
        <f>+B5</f>
        <v>2000000</v>
      </c>
      <c r="D5" s="65">
        <f>+B5</f>
        <v>2000000</v>
      </c>
      <c r="E5" s="65">
        <f>D5*$B$1</f>
        <v>120000</v>
      </c>
      <c r="F5" s="65">
        <f>+E5</f>
        <v>120000</v>
      </c>
      <c r="G5" s="66">
        <f>+F5/C5</f>
        <v>0.06</v>
      </c>
      <c r="H5" s="65">
        <f>D5+E5</f>
        <v>2120000</v>
      </c>
      <c r="I5" s="65">
        <f>+D5</f>
        <v>2000000</v>
      </c>
      <c r="J5" s="64">
        <v>133540</v>
      </c>
      <c r="K5" s="67">
        <f>+J5/C5</f>
        <v>6.6769999999999996E-2</v>
      </c>
      <c r="L5" s="68">
        <f>+N5-D5</f>
        <v>133540</v>
      </c>
      <c r="M5" s="66">
        <f>+L5/I5</f>
        <v>6.6769999999999996E-2</v>
      </c>
      <c r="N5" s="68">
        <f>+D5+J5</f>
        <v>2133540</v>
      </c>
      <c r="O5" s="68">
        <f>+J5-E5</f>
        <v>13540</v>
      </c>
      <c r="P5" s="66">
        <f>K5-$B$1</f>
        <v>6.7699999999999982E-3</v>
      </c>
      <c r="Q5" s="69">
        <f>+L5-F5</f>
        <v>13540</v>
      </c>
      <c r="R5" s="70">
        <f>+M5-G5</f>
        <v>6.7699999999999982E-3</v>
      </c>
    </row>
    <row r="6" spans="1:18" ht="15" customHeight="1" x14ac:dyDescent="0.2">
      <c r="A6" s="71">
        <v>42430</v>
      </c>
      <c r="B6" s="72">
        <v>0</v>
      </c>
      <c r="C6" s="73">
        <f>+C5+B6</f>
        <v>2000000</v>
      </c>
      <c r="D6" s="74">
        <f>+H5+B6</f>
        <v>2120000</v>
      </c>
      <c r="E6" s="73">
        <f>D6*$B$1</f>
        <v>127200</v>
      </c>
      <c r="F6" s="73">
        <f>+F5+E6</f>
        <v>247200</v>
      </c>
      <c r="G6" s="75">
        <f>+F6/C6</f>
        <v>0.1236</v>
      </c>
      <c r="H6" s="73">
        <f>D6+E6</f>
        <v>2247200</v>
      </c>
      <c r="I6" s="73">
        <f>+N5+B6</f>
        <v>2133540</v>
      </c>
      <c r="J6" s="72">
        <v>75164</v>
      </c>
      <c r="K6" s="76">
        <f>+J6/C6</f>
        <v>3.7581999999999997E-2</v>
      </c>
      <c r="L6" s="74">
        <f>+N6-C6</f>
        <v>208704</v>
      </c>
      <c r="M6" s="75">
        <f>+L6/C6</f>
        <v>0.104352</v>
      </c>
      <c r="N6" s="74">
        <f>+I6+J6</f>
        <v>2208704</v>
      </c>
      <c r="O6" s="74">
        <f>+J6-E6</f>
        <v>-52036</v>
      </c>
      <c r="P6" s="75">
        <f>K6-$B$1</f>
        <v>-2.2418E-2</v>
      </c>
      <c r="Q6" s="74">
        <f>+L6-F6</f>
        <v>-38496</v>
      </c>
      <c r="R6" s="77">
        <f>+M6-G6</f>
        <v>-1.9248000000000001E-2</v>
      </c>
    </row>
    <row r="7" spans="1:18" ht="15" customHeight="1" x14ac:dyDescent="0.2">
      <c r="A7" s="71">
        <v>42461</v>
      </c>
      <c r="B7" s="72">
        <v>0</v>
      </c>
      <c r="C7" s="73">
        <f>+C6+B7</f>
        <v>2000000</v>
      </c>
      <c r="D7" s="74">
        <f>+H6+B7</f>
        <v>2247200</v>
      </c>
      <c r="E7" s="73">
        <f>D7*$B$1</f>
        <v>134832</v>
      </c>
      <c r="F7" s="73">
        <f>+F6+E7</f>
        <v>382032</v>
      </c>
      <c r="G7" s="75">
        <f>+F7/C7</f>
        <v>0.19101599999999999</v>
      </c>
      <c r="H7" s="73">
        <f>D7+E7</f>
        <v>2382032</v>
      </c>
      <c r="I7" s="73">
        <f>+N6+B7</f>
        <v>2208704</v>
      </c>
      <c r="J7" s="72"/>
      <c r="K7" s="76"/>
      <c r="L7" s="74"/>
      <c r="M7" s="75"/>
      <c r="N7" s="74"/>
      <c r="O7" s="74"/>
      <c r="P7" s="75"/>
      <c r="Q7" s="74"/>
      <c r="R7" s="77"/>
    </row>
    <row r="8" spans="1:18" ht="15" customHeight="1" x14ac:dyDescent="0.2">
      <c r="A8" s="71">
        <v>42491</v>
      </c>
      <c r="B8" s="72"/>
      <c r="C8" s="73"/>
      <c r="D8" s="73"/>
      <c r="E8" s="73"/>
      <c r="F8" s="73"/>
      <c r="G8" s="75"/>
      <c r="H8" s="73"/>
      <c r="I8" s="73"/>
      <c r="J8" s="72"/>
      <c r="K8" s="76"/>
      <c r="L8" s="74"/>
      <c r="M8" s="75"/>
      <c r="N8" s="74"/>
      <c r="O8" s="74"/>
      <c r="P8" s="75"/>
      <c r="Q8" s="74"/>
      <c r="R8" s="77"/>
    </row>
    <row r="9" spans="1:18" ht="15" customHeight="1" x14ac:dyDescent="0.2">
      <c r="A9" s="71">
        <v>42522</v>
      </c>
      <c r="B9" s="72"/>
      <c r="C9" s="73"/>
      <c r="D9" s="73"/>
      <c r="E9" s="73"/>
      <c r="F9" s="73"/>
      <c r="G9" s="75"/>
      <c r="H9" s="73"/>
      <c r="I9" s="73"/>
      <c r="J9" s="72"/>
      <c r="K9" s="76"/>
      <c r="L9" s="74"/>
      <c r="M9" s="75"/>
      <c r="N9" s="74"/>
      <c r="O9" s="74"/>
      <c r="P9" s="75"/>
      <c r="Q9" s="74"/>
      <c r="R9" s="77"/>
    </row>
    <row r="10" spans="1:18" ht="15" customHeight="1" x14ac:dyDescent="0.2">
      <c r="A10" s="71">
        <v>42552</v>
      </c>
      <c r="B10" s="72"/>
      <c r="C10" s="73"/>
      <c r="D10" s="73"/>
      <c r="E10" s="73"/>
      <c r="F10" s="73"/>
      <c r="G10" s="75"/>
      <c r="H10" s="73"/>
      <c r="I10" s="73"/>
      <c r="J10" s="72"/>
      <c r="K10" s="76"/>
      <c r="L10" s="74"/>
      <c r="M10" s="75"/>
      <c r="N10" s="74"/>
      <c r="O10" s="74"/>
      <c r="P10" s="75"/>
      <c r="Q10" s="74"/>
      <c r="R10" s="77"/>
    </row>
    <row r="11" spans="1:18" ht="15" customHeight="1" x14ac:dyDescent="0.2">
      <c r="A11" s="71">
        <v>42583</v>
      </c>
      <c r="B11" s="72"/>
      <c r="C11" s="73"/>
      <c r="D11" s="73"/>
      <c r="E11" s="73"/>
      <c r="F11" s="73"/>
      <c r="G11" s="75"/>
      <c r="H11" s="73"/>
      <c r="I11" s="73"/>
      <c r="J11" s="72"/>
      <c r="K11" s="76"/>
      <c r="L11" s="74"/>
      <c r="M11" s="75"/>
      <c r="N11" s="74"/>
      <c r="O11" s="74"/>
      <c r="P11" s="75"/>
      <c r="Q11" s="74"/>
      <c r="R11" s="77"/>
    </row>
    <row r="12" spans="1:18" ht="15" customHeight="1" x14ac:dyDescent="0.2">
      <c r="A12" s="71">
        <v>42614</v>
      </c>
      <c r="B12" s="72"/>
      <c r="C12" s="73"/>
      <c r="D12" s="73"/>
      <c r="E12" s="73"/>
      <c r="F12" s="73"/>
      <c r="G12" s="75"/>
      <c r="H12" s="73"/>
      <c r="I12" s="73"/>
      <c r="J12" s="72"/>
      <c r="K12" s="76"/>
      <c r="L12" s="74"/>
      <c r="M12" s="75"/>
      <c r="N12" s="74"/>
      <c r="O12" s="74"/>
      <c r="P12" s="75"/>
      <c r="Q12" s="74"/>
      <c r="R12" s="77"/>
    </row>
    <row r="13" spans="1:18" ht="15" customHeight="1" x14ac:dyDescent="0.2">
      <c r="A13" s="71">
        <v>42644</v>
      </c>
      <c r="B13" s="72"/>
      <c r="C13" s="73"/>
      <c r="D13" s="73"/>
      <c r="E13" s="73"/>
      <c r="F13" s="73"/>
      <c r="G13" s="75"/>
      <c r="H13" s="73"/>
      <c r="I13" s="73"/>
      <c r="J13" s="72"/>
      <c r="K13" s="76"/>
      <c r="L13" s="74"/>
      <c r="M13" s="75"/>
      <c r="N13" s="74"/>
      <c r="O13" s="74"/>
      <c r="P13" s="75"/>
      <c r="Q13" s="74"/>
      <c r="R13" s="77"/>
    </row>
    <row r="14" spans="1:18" ht="15" customHeight="1" x14ac:dyDescent="0.2">
      <c r="A14" s="71">
        <v>42675</v>
      </c>
      <c r="B14" s="72"/>
      <c r="C14" s="73"/>
      <c r="D14" s="73"/>
      <c r="E14" s="73"/>
      <c r="F14" s="73"/>
      <c r="G14" s="75"/>
      <c r="H14" s="73"/>
      <c r="I14" s="73"/>
      <c r="J14" s="72"/>
      <c r="K14" s="76"/>
      <c r="L14" s="74"/>
      <c r="M14" s="75"/>
      <c r="N14" s="74"/>
      <c r="O14" s="74"/>
      <c r="P14" s="75"/>
      <c r="Q14" s="74"/>
      <c r="R14" s="77"/>
    </row>
    <row r="15" spans="1:18" ht="15" customHeight="1" x14ac:dyDescent="0.2">
      <c r="A15" s="71">
        <v>42705</v>
      </c>
      <c r="B15" s="72"/>
      <c r="C15" s="73"/>
      <c r="D15" s="73"/>
      <c r="E15" s="73"/>
      <c r="F15" s="73"/>
      <c r="G15" s="75"/>
      <c r="H15" s="73"/>
      <c r="I15" s="73"/>
      <c r="J15" s="72"/>
      <c r="K15" s="76"/>
      <c r="L15" s="74"/>
      <c r="M15" s="75"/>
      <c r="N15" s="74"/>
      <c r="O15" s="74"/>
      <c r="P15" s="75"/>
      <c r="Q15" s="74"/>
      <c r="R15" s="77"/>
    </row>
    <row r="16" spans="1:18" ht="15" customHeight="1" x14ac:dyDescent="0.2">
      <c r="A16" s="71">
        <v>42736</v>
      </c>
      <c r="B16" s="72"/>
      <c r="C16" s="73"/>
      <c r="D16" s="73"/>
      <c r="E16" s="73"/>
      <c r="F16" s="73"/>
      <c r="G16" s="75"/>
      <c r="H16" s="73"/>
      <c r="I16" s="73"/>
      <c r="J16" s="72"/>
      <c r="K16" s="76"/>
      <c r="L16" s="74"/>
      <c r="M16" s="75"/>
      <c r="N16" s="74"/>
      <c r="O16" s="74"/>
      <c r="P16" s="75"/>
      <c r="Q16" s="74"/>
      <c r="R16" s="77"/>
    </row>
    <row r="17" spans="1:18" ht="15" customHeight="1" x14ac:dyDescent="0.2">
      <c r="A17" s="71">
        <v>42767</v>
      </c>
      <c r="B17" s="72"/>
      <c r="C17" s="73"/>
      <c r="D17" s="73"/>
      <c r="E17" s="73"/>
      <c r="F17" s="73"/>
      <c r="G17" s="75"/>
      <c r="H17" s="73"/>
      <c r="I17" s="73"/>
      <c r="J17" s="72"/>
      <c r="K17" s="76"/>
      <c r="L17" s="74"/>
      <c r="M17" s="75"/>
      <c r="N17" s="74"/>
      <c r="O17" s="74"/>
      <c r="P17" s="75"/>
      <c r="Q17" s="74"/>
      <c r="R17" s="77"/>
    </row>
    <row r="18" spans="1:18" ht="15" customHeight="1" x14ac:dyDescent="0.2">
      <c r="A18" s="71">
        <v>42795</v>
      </c>
      <c r="B18" s="72"/>
      <c r="C18" s="73"/>
      <c r="D18" s="73"/>
      <c r="E18" s="73"/>
      <c r="F18" s="73"/>
      <c r="G18" s="75"/>
      <c r="H18" s="73"/>
      <c r="I18" s="73"/>
      <c r="J18" s="72"/>
      <c r="K18" s="76"/>
      <c r="L18" s="74"/>
      <c r="M18" s="75"/>
      <c r="N18" s="74"/>
      <c r="O18" s="74"/>
      <c r="P18" s="75"/>
      <c r="Q18" s="74"/>
      <c r="R18" s="77"/>
    </row>
    <row r="19" spans="1:18" ht="15" customHeight="1" x14ac:dyDescent="0.2">
      <c r="A19" s="71">
        <v>42826</v>
      </c>
      <c r="B19" s="72"/>
      <c r="C19" s="73"/>
      <c r="D19" s="73"/>
      <c r="E19" s="73"/>
      <c r="F19" s="73"/>
      <c r="G19" s="75"/>
      <c r="H19" s="73"/>
      <c r="I19" s="73"/>
      <c r="J19" s="72"/>
      <c r="K19" s="76"/>
      <c r="L19" s="74"/>
      <c r="M19" s="75"/>
      <c r="N19" s="74"/>
      <c r="O19" s="74"/>
      <c r="P19" s="75"/>
      <c r="Q19" s="74"/>
      <c r="R19" s="77"/>
    </row>
    <row r="20" spans="1:18" ht="15" customHeight="1" x14ac:dyDescent="0.2">
      <c r="A20" s="78"/>
      <c r="B20" s="79"/>
      <c r="C20" s="80"/>
      <c r="D20" s="80"/>
      <c r="E20" s="80"/>
      <c r="F20" s="80"/>
      <c r="G20" s="81"/>
      <c r="H20" s="80"/>
      <c r="I20" s="80"/>
      <c r="J20" s="79"/>
      <c r="K20" s="82"/>
      <c r="L20" s="83"/>
      <c r="M20" s="81"/>
      <c r="N20" s="83"/>
      <c r="O20" s="83"/>
      <c r="P20" s="81"/>
      <c r="Q20" s="83"/>
      <c r="R20" s="84"/>
    </row>
  </sheetData>
  <phoneticPr fontId="2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411264-0C55-4D5B-84FC-DC5BD3247E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2</vt:i4>
      </vt:variant>
    </vt:vector>
  </HeadingPairs>
  <TitlesOfParts>
    <vt:vector size="15" baseType="lpstr">
      <vt:lpstr>参照データ</vt:lpstr>
      <vt:lpstr>顧客データ</vt:lpstr>
      <vt:lpstr>支店用</vt:lpstr>
      <vt:lpstr>MSクエリ</vt:lpstr>
      <vt:lpstr>実現損益</vt:lpstr>
      <vt:lpstr>取引履歴</vt:lpstr>
      <vt:lpstr>集計_1</vt:lpstr>
      <vt:lpstr>集計_2</vt:lpstr>
      <vt:lpstr>集計_3</vt:lpstr>
      <vt:lpstr>集計_4</vt:lpstr>
      <vt:lpstr>平均</vt:lpstr>
      <vt:lpstr>グラフ</vt:lpstr>
      <vt:lpstr>パフォーマンス管理</vt:lpstr>
      <vt:lpstr>顧客データ!Criteria</vt:lpstr>
      <vt:lpstr>顧客データ!Print_Area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2019-09-24T05:49:14Z</dcterms:modified>
</cp:coreProperties>
</file>